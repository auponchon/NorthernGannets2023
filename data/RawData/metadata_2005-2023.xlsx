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chon\Documents\Projects\NorthernGannets2023\Analysis\NorthernGannets2023\data\RawData\"/>
    </mc:Choice>
  </mc:AlternateContent>
  <xr:revisionPtr revIDLastSave="0" documentId="13_ncr:1_{0D16D3D7-9725-4547-9C52-E27657C3934B}" xr6:coauthVersionLast="47" xr6:coauthVersionMax="47" xr10:uidLastSave="{00000000-0000-0000-0000-000000000000}"/>
  <bookViews>
    <workbookView xWindow="20370" yWindow="-120" windowWidth="29040" windowHeight="15840" xr2:uid="{180F53A7-9CD1-4793-8959-A57DB5048E36}"/>
  </bookViews>
  <sheets>
    <sheet name="Feuil1" sheetId="1" r:id="rId1"/>
    <sheet name="Feuil2" sheetId="2" r:id="rId2"/>
  </sheets>
  <definedNames>
    <definedName name="_xlnm._FilterDatabase" localSheetId="0" hidden="1">Feuil1!$A$1:$L$241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0" i="1" l="1"/>
  <c r="D100" i="1"/>
  <c r="J95" i="1"/>
  <c r="D95" i="1"/>
  <c r="D123" i="1"/>
  <c r="J122" i="1"/>
  <c r="D122" i="1"/>
  <c r="D121" i="1"/>
  <c r="D110" i="1"/>
  <c r="D109" i="1"/>
  <c r="D57" i="1"/>
  <c r="D56" i="1"/>
  <c r="D54" i="1"/>
  <c r="D53" i="1"/>
  <c r="D51" i="1"/>
  <c r="D49" i="1"/>
  <c r="D48" i="1"/>
  <c r="D47" i="1"/>
  <c r="D45" i="1"/>
  <c r="D43" i="1"/>
  <c r="D40" i="1"/>
  <c r="D39" i="1"/>
  <c r="D104" i="1"/>
  <c r="D105" i="1"/>
  <c r="D106" i="1"/>
  <c r="D107" i="1"/>
  <c r="D108" i="1"/>
  <c r="D111" i="1"/>
  <c r="D112" i="1"/>
  <c r="D113" i="1"/>
  <c r="D114" i="1"/>
  <c r="D115" i="1"/>
  <c r="D116" i="1"/>
  <c r="D117" i="1"/>
  <c r="D118" i="1"/>
  <c r="D119" i="1"/>
  <c r="D120" i="1"/>
  <c r="D124" i="1"/>
  <c r="D125" i="1"/>
  <c r="D103" i="1"/>
  <c r="D166" i="1"/>
  <c r="D158" i="1"/>
  <c r="D159" i="1"/>
  <c r="D160" i="1"/>
  <c r="D161" i="1"/>
  <c r="D162" i="1"/>
  <c r="D163" i="1"/>
  <c r="D164" i="1"/>
  <c r="D165" i="1"/>
  <c r="D157" i="1"/>
  <c r="D156" i="1"/>
  <c r="D155" i="1"/>
  <c r="D149" i="1"/>
  <c r="D150" i="1"/>
  <c r="D151" i="1"/>
  <c r="D152" i="1"/>
  <c r="D153" i="1"/>
  <c r="D154" i="1"/>
  <c r="D148" i="1"/>
  <c r="J113" i="1"/>
  <c r="D205" i="1"/>
  <c r="D204" i="1"/>
  <c r="D203" i="1"/>
  <c r="D202" i="1"/>
  <c r="D201" i="1"/>
  <c r="D200" i="1"/>
  <c r="D199" i="1"/>
  <c r="D215" i="1"/>
  <c r="D198" i="1"/>
  <c r="D214" i="1"/>
  <c r="D213" i="1"/>
  <c r="D212" i="1"/>
  <c r="D211" i="1"/>
  <c r="D210" i="1"/>
  <c r="D209" i="1"/>
  <c r="D208" i="1"/>
  <c r="D206" i="1"/>
  <c r="D207" i="1"/>
  <c r="D197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6" i="1"/>
  <c r="D97" i="1"/>
  <c r="D98" i="1"/>
  <c r="D99" i="1"/>
  <c r="D101" i="1"/>
  <c r="D102" i="1"/>
  <c r="D80" i="1"/>
  <c r="H87" i="1" l="1"/>
  <c r="J102" i="1"/>
  <c r="J101" i="1"/>
  <c r="J84" i="1"/>
  <c r="J99" i="1"/>
  <c r="J98" i="1"/>
  <c r="J97" i="1"/>
  <c r="J96" i="1"/>
  <c r="J94" i="1"/>
  <c r="J93" i="1"/>
  <c r="J92" i="1"/>
  <c r="J91" i="1"/>
  <c r="J90" i="1"/>
  <c r="J89" i="1"/>
  <c r="J88" i="1"/>
  <c r="J87" i="1"/>
  <c r="J86" i="1"/>
  <c r="J85" i="1"/>
  <c r="J83" i="1"/>
  <c r="J82" i="1"/>
  <c r="J81" i="1"/>
  <c r="J80" i="1"/>
  <c r="J125" i="1" l="1"/>
  <c r="J124" i="1"/>
  <c r="J123" i="1"/>
  <c r="J120" i="1"/>
  <c r="J119" i="1"/>
  <c r="J118" i="1"/>
  <c r="J117" i="1"/>
  <c r="J116" i="1"/>
  <c r="J115" i="1"/>
  <c r="J114" i="1"/>
  <c r="J112" i="1"/>
  <c r="J111" i="1"/>
  <c r="J108" i="1"/>
  <c r="J107" i="1"/>
  <c r="J106" i="1"/>
  <c r="J105" i="1"/>
  <c r="J104" i="1"/>
  <c r="J103" i="1"/>
</calcChain>
</file>

<file path=xl/sharedStrings.xml><?xml version="1.0" encoding="utf-8"?>
<sst xmlns="http://schemas.openxmlformats.org/spreadsheetml/2006/main" count="439" uniqueCount="364">
  <si>
    <t>year</t>
  </si>
  <si>
    <t>id</t>
  </si>
  <si>
    <t>Rouzic10</t>
  </si>
  <si>
    <t>Rouzic11</t>
  </si>
  <si>
    <t>Rouzic12</t>
  </si>
  <si>
    <t>Rouzic13</t>
  </si>
  <si>
    <t>Rouzic14</t>
  </si>
  <si>
    <t>Rouzic15</t>
  </si>
  <si>
    <t>Rouzic16</t>
  </si>
  <si>
    <t>Rouzic17</t>
  </si>
  <si>
    <t>Rouzic18</t>
  </si>
  <si>
    <t>Rouzic19</t>
  </si>
  <si>
    <t>Rouzic20</t>
  </si>
  <si>
    <t>Rouzic21</t>
  </si>
  <si>
    <t>F</t>
  </si>
  <si>
    <t>M</t>
  </si>
  <si>
    <t>ID1.GPS82</t>
  </si>
  <si>
    <t>ID4.GPS82</t>
  </si>
  <si>
    <t>ID5.GPS81</t>
  </si>
  <si>
    <t>ID7.GPS16</t>
  </si>
  <si>
    <t>ID9.GPS82</t>
  </si>
  <si>
    <t>ID13.GPS81</t>
  </si>
  <si>
    <t>ID15.GPS82</t>
  </si>
  <si>
    <t>ID18.GPS81</t>
  </si>
  <si>
    <t>Bird10.10-06-10</t>
  </si>
  <si>
    <t>Bird11.10-06-10</t>
  </si>
  <si>
    <t xml:space="preserve">Bird13.09-06-10 </t>
  </si>
  <si>
    <t>Bird16.09-06-10</t>
  </si>
  <si>
    <t>Bird17.11-06-10</t>
  </si>
  <si>
    <t>Bird15.10-06-10</t>
  </si>
  <si>
    <t>Bird19.10-06-10</t>
  </si>
  <si>
    <t>Bird22.05-06-10</t>
  </si>
  <si>
    <t>Bird23.05-06-10</t>
  </si>
  <si>
    <t>Bird18.05-06-10</t>
  </si>
  <si>
    <t>Bird25.05-06-10</t>
  </si>
  <si>
    <t>Bird30.08-06-10</t>
  </si>
  <si>
    <t>Bird33.10-06-10</t>
  </si>
  <si>
    <t>Bird34.11-06-10</t>
  </si>
  <si>
    <t>Bird4.08-06-10</t>
  </si>
  <si>
    <t>Bird5.09-06-10</t>
  </si>
  <si>
    <t>Bird6.09-06-10</t>
  </si>
  <si>
    <t>Bird7.08-06-10</t>
  </si>
  <si>
    <t>Bird8.10-06-10</t>
  </si>
  <si>
    <t>Bird9.10-06-10</t>
  </si>
  <si>
    <t>Bird32.10-06-10</t>
  </si>
  <si>
    <t>Rouzic01</t>
  </si>
  <si>
    <t>Rouzic02</t>
  </si>
  <si>
    <t>Rouzic03</t>
  </si>
  <si>
    <t>Rouzic04</t>
  </si>
  <si>
    <t>Rouzic05</t>
  </si>
  <si>
    <t>Rouzic06</t>
  </si>
  <si>
    <t>Rouzic07</t>
  </si>
  <si>
    <t>Rouzic08</t>
  </si>
  <si>
    <t>Rouzic09</t>
  </si>
  <si>
    <t>1B</t>
  </si>
  <si>
    <t>1b</t>
  </si>
  <si>
    <t>3b</t>
  </si>
  <si>
    <t>ABN</t>
  </si>
  <si>
    <t>ABM</t>
  </si>
  <si>
    <t>ABL</t>
  </si>
  <si>
    <t>ABP</t>
  </si>
  <si>
    <t>ABR</t>
  </si>
  <si>
    <t>ABT</t>
  </si>
  <si>
    <t>ABV</t>
  </si>
  <si>
    <t>ABX</t>
  </si>
  <si>
    <t>AAB</t>
  </si>
  <si>
    <t>AAD</t>
  </si>
  <si>
    <t>AAA</t>
  </si>
  <si>
    <t>AAE</t>
  </si>
  <si>
    <t>AAI</t>
  </si>
  <si>
    <t>AAM</t>
  </si>
  <si>
    <t>ABA</t>
  </si>
  <si>
    <t>AAH</t>
  </si>
  <si>
    <t>AAL</t>
  </si>
  <si>
    <t>AAS</t>
  </si>
  <si>
    <t>AAT</t>
  </si>
  <si>
    <t>CF39823</t>
  </si>
  <si>
    <t>BRC</t>
  </si>
  <si>
    <t>CF39824</t>
  </si>
  <si>
    <t>BRE</t>
  </si>
  <si>
    <t>CF39825</t>
  </si>
  <si>
    <t>BRF</t>
  </si>
  <si>
    <t>CF39826</t>
  </si>
  <si>
    <t>BRM</t>
  </si>
  <si>
    <t>CF39827</t>
  </si>
  <si>
    <t>BRG</t>
  </si>
  <si>
    <t>CF39828</t>
  </si>
  <si>
    <t>BRK</t>
  </si>
  <si>
    <t>CF39829</t>
  </si>
  <si>
    <t>BRL</t>
  </si>
  <si>
    <t>CF39830</t>
  </si>
  <si>
    <t>CF49841</t>
  </si>
  <si>
    <t>BRN</t>
  </si>
  <si>
    <t>CF49842</t>
  </si>
  <si>
    <t>BRQ</t>
  </si>
  <si>
    <t>CF49843</t>
  </si>
  <si>
    <t>BRS</t>
  </si>
  <si>
    <t>CF49845</t>
  </si>
  <si>
    <t>BRT</t>
  </si>
  <si>
    <t>CF49844</t>
  </si>
  <si>
    <t>BRU</t>
  </si>
  <si>
    <t>CF49846</t>
  </si>
  <si>
    <t>BRV</t>
  </si>
  <si>
    <t>CF49847</t>
  </si>
  <si>
    <t>BRW</t>
  </si>
  <si>
    <t>Metal</t>
  </si>
  <si>
    <t>Ring</t>
  </si>
  <si>
    <t>CF37460</t>
  </si>
  <si>
    <t>CF37482</t>
  </si>
  <si>
    <t>CF44848</t>
  </si>
  <si>
    <t>ADW</t>
  </si>
  <si>
    <t>CF39771</t>
  </si>
  <si>
    <t>ADM</t>
  </si>
  <si>
    <t>CF39770</t>
  </si>
  <si>
    <t>ADN</t>
  </si>
  <si>
    <t>CF39772</t>
  </si>
  <si>
    <t>ADP</t>
  </si>
  <si>
    <t>CF39774</t>
  </si>
  <si>
    <t>ADS</t>
  </si>
  <si>
    <t>CF39773</t>
  </si>
  <si>
    <t>ADR</t>
  </si>
  <si>
    <t>CF44827</t>
  </si>
  <si>
    <t>ADT</t>
  </si>
  <si>
    <t>CF39775</t>
  </si>
  <si>
    <t>ADU</t>
  </si>
  <si>
    <t>CF38777</t>
  </si>
  <si>
    <t>ADY</t>
  </si>
  <si>
    <t>CF39776</t>
  </si>
  <si>
    <t>ADV</t>
  </si>
  <si>
    <t>ADX</t>
  </si>
  <si>
    <t>CF39786</t>
  </si>
  <si>
    <t>AEN</t>
  </si>
  <si>
    <t>AEW</t>
  </si>
  <si>
    <t>AES</t>
  </si>
  <si>
    <t>AET</t>
  </si>
  <si>
    <t>AEU</t>
  </si>
  <si>
    <t>AER</t>
  </si>
  <si>
    <t>AEV</t>
  </si>
  <si>
    <t>AEY</t>
  </si>
  <si>
    <t>AEZ</t>
  </si>
  <si>
    <t>ALM</t>
  </si>
  <si>
    <t>AIA</t>
  </si>
  <si>
    <t>ALP</t>
  </si>
  <si>
    <t>AIL</t>
  </si>
  <si>
    <t>CF44814</t>
  </si>
  <si>
    <t>CF37451</t>
  </si>
  <si>
    <t>CF37452</t>
  </si>
  <si>
    <t>CF37453</t>
  </si>
  <si>
    <t>CF37463</t>
  </si>
  <si>
    <t>CF37461</t>
  </si>
  <si>
    <t>CF44821</t>
  </si>
  <si>
    <t>CF37455</t>
  </si>
  <si>
    <t>CF37456</t>
  </si>
  <si>
    <t>CF37466</t>
  </si>
  <si>
    <t>CF44828</t>
  </si>
  <si>
    <t>CF37462</t>
  </si>
  <si>
    <t>CF37457</t>
  </si>
  <si>
    <t>CF37464</t>
  </si>
  <si>
    <t>CF37465</t>
  </si>
  <si>
    <t>CF37469</t>
  </si>
  <si>
    <t>CF39751</t>
  </si>
  <si>
    <t>ACU</t>
  </si>
  <si>
    <t>ACZ</t>
  </si>
  <si>
    <t>CF39753</t>
  </si>
  <si>
    <t>ACW</t>
  </si>
  <si>
    <t>CF39752</t>
  </si>
  <si>
    <t>ACV</t>
  </si>
  <si>
    <t>CF39754</t>
  </si>
  <si>
    <t>CF39756</t>
  </si>
  <si>
    <t>CF39755</t>
  </si>
  <si>
    <t>ACX</t>
  </si>
  <si>
    <t>CF39759</t>
  </si>
  <si>
    <t>ADC</t>
  </si>
  <si>
    <t>CF39758</t>
  </si>
  <si>
    <t>CF39757</t>
  </si>
  <si>
    <t>CF39760</t>
  </si>
  <si>
    <t>ADD</t>
  </si>
  <si>
    <t>CF39761</t>
  </si>
  <si>
    <t>ADB</t>
  </si>
  <si>
    <t>CF39762</t>
  </si>
  <si>
    <t>CF39763</t>
  </si>
  <si>
    <t>CF39764</t>
  </si>
  <si>
    <t>F19857</t>
  </si>
  <si>
    <t>GPS101</t>
  </si>
  <si>
    <t>GPS105</t>
  </si>
  <si>
    <t>GPS107</t>
  </si>
  <si>
    <t>GPS110</t>
  </si>
  <si>
    <t>GPS124</t>
  </si>
  <si>
    <t>GPS118</t>
  </si>
  <si>
    <t>GPS104</t>
  </si>
  <si>
    <t>2017.Bird10</t>
  </si>
  <si>
    <t>2017.Bird2</t>
  </si>
  <si>
    <t>2017.Bird12</t>
  </si>
  <si>
    <t>2017.Bird3</t>
  </si>
  <si>
    <t>2017.Bird4</t>
  </si>
  <si>
    <t>2017.Bird5</t>
  </si>
  <si>
    <t>2017.Bird6</t>
  </si>
  <si>
    <t>2017.Bird7</t>
  </si>
  <si>
    <t>2017.Bird8</t>
  </si>
  <si>
    <t>2017.Bird9</t>
  </si>
  <si>
    <t>3a</t>
  </si>
  <si>
    <t>1a</t>
  </si>
  <si>
    <t>2013_Bird1.GPS61</t>
  </si>
  <si>
    <t>2013_Bird2.GPS1B</t>
  </si>
  <si>
    <t>2013_Bird4.GPS52</t>
  </si>
  <si>
    <t>2013_Bird6.GPS15</t>
  </si>
  <si>
    <t>Bird10.GPS522013</t>
  </si>
  <si>
    <t>Bird5.GPS612013</t>
  </si>
  <si>
    <t>Bird7.GPS592013</t>
  </si>
  <si>
    <t>Bird8.GPS572013</t>
  </si>
  <si>
    <t>GPS115</t>
  </si>
  <si>
    <t>GPS113</t>
  </si>
  <si>
    <t>GPS119</t>
  </si>
  <si>
    <t>GPS98</t>
  </si>
  <si>
    <t>GPS99</t>
  </si>
  <si>
    <t>GPS120</t>
  </si>
  <si>
    <t>GPS116</t>
  </si>
  <si>
    <t>GPS102</t>
  </si>
  <si>
    <t>GPS123</t>
  </si>
  <si>
    <t>GPS125</t>
  </si>
  <si>
    <t>GPS100</t>
  </si>
  <si>
    <t>GPS108</t>
  </si>
  <si>
    <t>BirdID</t>
  </si>
  <si>
    <t>GPSID</t>
  </si>
  <si>
    <t>2019.CF39786_GPS3_ROUZIC19NG01</t>
  </si>
  <si>
    <t>2019.CF39787_GPS9_ROUZIC19NG06</t>
  </si>
  <si>
    <t>2019.CF39788_GPS2_ROUZIC19NG03</t>
  </si>
  <si>
    <t>2019.CF39789_GPS1_ROUZIC19NG04</t>
  </si>
  <si>
    <t>2019.CF39790_GPS6_ROUZIC19NG05</t>
  </si>
  <si>
    <t>2019.CF39791_GPS13_ROUZIC19NG07</t>
  </si>
  <si>
    <t>2019.CF39792_GPS7_ROUZIC19NG02</t>
  </si>
  <si>
    <t>2019.CF39794_GPS14_ROUZIC19NG10</t>
  </si>
  <si>
    <t>2019.CF39795_GPS12_ROUZIC19NG11</t>
  </si>
  <si>
    <t>2019.CF39796_GPS15_ROUZIC19NG12</t>
  </si>
  <si>
    <t>2019.CF39797_GPS16_ROUZIC19NG13</t>
  </si>
  <si>
    <t>2019.CF39798_GPS3_ROUZIC19NG15</t>
  </si>
  <si>
    <t>2019.CF39799_GPS19_ROUZIC19NG14</t>
  </si>
  <si>
    <t>2019.GPS11_ROUZIC19NG08</t>
  </si>
  <si>
    <t xml:space="preserve">2019.GPS13_ROUZIC19NG20 </t>
  </si>
  <si>
    <t xml:space="preserve">2019.GPS2_ROUZIC19NG16 </t>
  </si>
  <si>
    <t>2019.GPS6_ROUZIC19NG17</t>
  </si>
  <si>
    <t>2019.GPS7_ROUZIC19NG18</t>
  </si>
  <si>
    <t xml:space="preserve"> 2019.GPS9_ROUZIC19NG19</t>
  </si>
  <si>
    <t>2014_Bird01.GPS11</t>
  </si>
  <si>
    <t>2014_Bird02.GPS41</t>
  </si>
  <si>
    <t>2014_Bird03.GPS82</t>
  </si>
  <si>
    <t>2014_Bird04.GPS67</t>
  </si>
  <si>
    <t>2014_Bird07.GPS65</t>
  </si>
  <si>
    <t>2014_Bird12.GPS1b</t>
  </si>
  <si>
    <t>Bird08.GPS742014</t>
  </si>
  <si>
    <t>Bird10.GPS682014</t>
  </si>
  <si>
    <t>Bird13.GPS372014</t>
  </si>
  <si>
    <t>Bird14.GPS412014</t>
  </si>
  <si>
    <t>Bird16.GPS742014</t>
  </si>
  <si>
    <t>Bird17.GPS612014</t>
  </si>
  <si>
    <t>Bird18.GPS672014</t>
  </si>
  <si>
    <t>Bird20.GPS1b2014</t>
  </si>
  <si>
    <t>CF37402</t>
  </si>
  <si>
    <t>CF37404</t>
  </si>
  <si>
    <t>CF37401</t>
  </si>
  <si>
    <t>CF37406</t>
  </si>
  <si>
    <t>CF37405</t>
  </si>
  <si>
    <t>CF37407</t>
  </si>
  <si>
    <t>CF37413</t>
  </si>
  <si>
    <t>CF37409</t>
  </si>
  <si>
    <t>CF37415</t>
  </si>
  <si>
    <t>CF37436</t>
  </si>
  <si>
    <t>CF37412</t>
  </si>
  <si>
    <t>CF37414</t>
  </si>
  <si>
    <t>CF37419</t>
  </si>
  <si>
    <t>CF44809</t>
  </si>
  <si>
    <t>CF37497</t>
  </si>
  <si>
    <t>CF37443</t>
  </si>
  <si>
    <t>CF37498</t>
  </si>
  <si>
    <t>CF37499</t>
  </si>
  <si>
    <t>CF37421</t>
  </si>
  <si>
    <t>CF37427</t>
  </si>
  <si>
    <t>CF37423</t>
  </si>
  <si>
    <t>CF37424</t>
  </si>
  <si>
    <t>CF37426</t>
  </si>
  <si>
    <t>CF37425</t>
  </si>
  <si>
    <t>CF37428</t>
  </si>
  <si>
    <t>CF39831</t>
  </si>
  <si>
    <t>CF37430</t>
  </si>
  <si>
    <t>CF37429</t>
  </si>
  <si>
    <t>CF39835</t>
  </si>
  <si>
    <t>CF39840</t>
  </si>
  <si>
    <t>CF39838</t>
  </si>
  <si>
    <t>CF39792</t>
  </si>
  <si>
    <t>CF39788</t>
  </si>
  <si>
    <t>CF39789</t>
  </si>
  <si>
    <t>CF39790</t>
  </si>
  <si>
    <t>CF39787</t>
  </si>
  <si>
    <t>CF39791</t>
  </si>
  <si>
    <t>CF39794</t>
  </si>
  <si>
    <t>CF39795</t>
  </si>
  <si>
    <t>CF39796</t>
  </si>
  <si>
    <t>CF39797</t>
  </si>
  <si>
    <t>CF39799</t>
  </si>
  <si>
    <t>CF39798</t>
  </si>
  <si>
    <t>CF39800</t>
  </si>
  <si>
    <t>BRX</t>
  </si>
  <si>
    <t>BRY</t>
  </si>
  <si>
    <t>BUA</t>
  </si>
  <si>
    <t>BUV</t>
  </si>
  <si>
    <t>BUB</t>
  </si>
  <si>
    <t>BUE</t>
  </si>
  <si>
    <t>BUY</t>
  </si>
  <si>
    <t>BUC</t>
  </si>
  <si>
    <t>BUT</t>
  </si>
  <si>
    <t>BUS</t>
  </si>
  <si>
    <t>BUF</t>
  </si>
  <si>
    <t>BUN</t>
  </si>
  <si>
    <t>BUM</t>
  </si>
  <si>
    <t>BUG</t>
  </si>
  <si>
    <t>BUQ</t>
  </si>
  <si>
    <t>BUZ</t>
  </si>
  <si>
    <t>BTH</t>
  </si>
  <si>
    <t>BTK</t>
  </si>
  <si>
    <t>BTM</t>
  </si>
  <si>
    <t>BTN</t>
  </si>
  <si>
    <t>BTQ</t>
  </si>
  <si>
    <t>BTR</t>
  </si>
  <si>
    <t>BTS</t>
  </si>
  <si>
    <t>BTU</t>
  </si>
  <si>
    <t>BTV</t>
  </si>
  <si>
    <t>BTW</t>
  </si>
  <si>
    <t>CF49809</t>
  </si>
  <si>
    <t>CF49810</t>
  </si>
  <si>
    <t>CF49825</t>
  </si>
  <si>
    <t>CF49826</t>
  </si>
  <si>
    <t>CF49827</t>
  </si>
  <si>
    <t>CF49828</t>
  </si>
  <si>
    <t>CF49829</t>
  </si>
  <si>
    <t>CF49848</t>
  </si>
  <si>
    <t>CF49849</t>
  </si>
  <si>
    <t>CF49850</t>
  </si>
  <si>
    <t>CF51697</t>
  </si>
  <si>
    <t>CF37434</t>
  </si>
  <si>
    <t>CF51698</t>
  </si>
  <si>
    <t>CF51699</t>
  </si>
  <si>
    <t>CF51709</t>
  </si>
  <si>
    <t>CF53109</t>
  </si>
  <si>
    <t>CF53111</t>
  </si>
  <si>
    <t>CF53113</t>
  </si>
  <si>
    <t>CF53114</t>
  </si>
  <si>
    <t>CF53115</t>
  </si>
  <si>
    <t>CF53116</t>
  </si>
  <si>
    <t>CF53117</t>
  </si>
  <si>
    <t>CF53118</t>
  </si>
  <si>
    <t>CF53119</t>
  </si>
  <si>
    <t>CF53120</t>
  </si>
  <si>
    <t>sex</t>
  </si>
  <si>
    <t>weight</t>
  </si>
  <si>
    <t>sero</t>
  </si>
  <si>
    <t>stage</t>
  </si>
  <si>
    <t>deploy</t>
  </si>
  <si>
    <t>2017.Bird1</t>
  </si>
  <si>
    <t>Bird3.02-06-10</t>
  </si>
  <si>
    <t>Bill.Length</t>
  </si>
  <si>
    <t>Wing</t>
  </si>
  <si>
    <t>Tarsus</t>
  </si>
  <si>
    <t>Pec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</si>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</sst>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2"/>
      <color indexed="8"/>
      <name val="Calibri"/>
    </font>
    <font>
      <sz val="10"/>
      <color theme="1"/>
      <name val="Calibri Light"/>
      <family val="2"/>
      <scheme val="major"/>
    </font>
    <font>
      <sz val="10"/>
      <color indexed="8"/>
      <name val="Calibri Light"/>
      <family val="2"/>
      <scheme val="major"/>
    </font>
    <font>
      <sz val="10"/>
      <name val="Calibri Light"/>
      <family val="2"/>
      <scheme val="major"/>
    </font>
    <font>
      <sz val="12"/>
      <color indexed="8"/>
      <name val="Calibri"/>
      <family val="2"/>
    </font>
    <font>
      <sz val="11"/>
      <color theme="1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5" fillId="0" borderId="0" applyNumberFormat="0" applyFill="0" applyBorder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9" borderId="1" xfId="0" quotePrefix="1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3" fillId="12" borderId="1" xfId="1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/>
  </cellXfs>
  <cellStyles count="3">
    <cellStyle name="Normal" xfId="0" builtinId="0"/>
    <cellStyle name="Normal 2" xfId="1" xr:uid="{A2B26511-23C3-4044-A5CA-2B18388EC198}"/>
    <cellStyle name="Normal 3" xfId="2" xr:uid="{7C19F455-9287-40C8-977D-3F31F1ECCB56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FB18-4BDE-42FE-B8C4-54C00AF18A71}">
  <dimension ref="A1:O241"/>
  <sheetViews>
    <sheetView tabSelected="1" workbookViewId="0">
      <selection activeCell="F230" sqref="F230"/>
    </sheetView>
  </sheetViews>
  <sheetFormatPr baseColWidth="10" defaultRowHeight="15" x14ac:dyDescent="0.25"/>
  <cols>
    <col min="1" max="3" width="11.42578125" style="2"/>
    <col min="4" max="4" width="31.5703125" style="2" bestFit="1" customWidth="1"/>
    <col min="5" max="12" width="11.42578125" style="2"/>
  </cols>
  <sheetData>
    <row r="1" spans="1:15" x14ac:dyDescent="0.25">
      <c r="A1" s="23" t="s">
        <v>0</v>
      </c>
      <c r="B1" s="23" t="s">
        <v>105</v>
      </c>
      <c r="C1" s="23" t="s">
        <v>106</v>
      </c>
      <c r="D1" s="24" t="s">
        <v>1</v>
      </c>
      <c r="E1" s="24" t="s">
        <v>359</v>
      </c>
      <c r="F1" s="24" t="s">
        <v>360</v>
      </c>
      <c r="G1" s="24" t="s">
        <v>361</v>
      </c>
      <c r="H1" s="24" t="s">
        <v>362</v>
      </c>
      <c r="I1" s="24" t="s">
        <v>352</v>
      </c>
      <c r="J1" s="23" t="s">
        <v>353</v>
      </c>
      <c r="K1" s="23" t="s">
        <v>222</v>
      </c>
      <c r="L1" s="23" t="s">
        <v>223</v>
      </c>
      <c r="M1" s="25" t="s">
        <v>354</v>
      </c>
      <c r="N1" s="25" t="s">
        <v>355</v>
      </c>
      <c r="O1" s="25" t="s">
        <v>356</v>
      </c>
    </row>
    <row r="2" spans="1:15" x14ac:dyDescent="0.25">
      <c r="A2" s="3">
        <v>2022</v>
      </c>
      <c r="B2" s="4" t="s">
        <v>76</v>
      </c>
      <c r="C2" s="4" t="s">
        <v>77</v>
      </c>
      <c r="D2" s="5">
        <v>222270</v>
      </c>
      <c r="E2" s="26">
        <v>98.1</v>
      </c>
      <c r="F2" s="26">
        <v>491</v>
      </c>
      <c r="G2" s="26">
        <v>63.3</v>
      </c>
      <c r="H2" s="26"/>
      <c r="I2" s="27"/>
      <c r="J2" s="26"/>
      <c r="K2" s="3"/>
      <c r="L2" s="3"/>
      <c r="M2" s="3"/>
      <c r="N2" s="3"/>
      <c r="O2" s="3"/>
    </row>
    <row r="3" spans="1:15" x14ac:dyDescent="0.25">
      <c r="A3" s="3">
        <v>2022</v>
      </c>
      <c r="B3" s="4" t="s">
        <v>78</v>
      </c>
      <c r="C3" s="4" t="s">
        <v>79</v>
      </c>
      <c r="D3" s="5">
        <v>222271</v>
      </c>
      <c r="E3" s="26">
        <v>97.3</v>
      </c>
      <c r="F3" s="26">
        <v>506</v>
      </c>
      <c r="G3" s="26">
        <v>61.9</v>
      </c>
      <c r="H3" s="26"/>
      <c r="I3" s="27"/>
      <c r="J3" s="26">
        <v>2800</v>
      </c>
      <c r="K3" s="3"/>
      <c r="L3" s="3"/>
      <c r="M3" s="3"/>
      <c r="N3" s="3"/>
      <c r="O3" s="3"/>
    </row>
    <row r="4" spans="1:15" x14ac:dyDescent="0.25">
      <c r="A4" s="3">
        <v>2022</v>
      </c>
      <c r="B4" s="4" t="s">
        <v>80</v>
      </c>
      <c r="C4" s="4" t="s">
        <v>81</v>
      </c>
      <c r="D4" s="5">
        <v>222272</v>
      </c>
      <c r="E4" s="26">
        <v>101.5</v>
      </c>
      <c r="F4" s="26">
        <v>484</v>
      </c>
      <c r="G4" s="26">
        <v>64.2</v>
      </c>
      <c r="H4" s="26"/>
      <c r="I4" s="27"/>
      <c r="J4" s="26">
        <v>3140</v>
      </c>
      <c r="K4" s="3"/>
      <c r="L4" s="3"/>
      <c r="M4" s="3"/>
      <c r="N4" s="3"/>
      <c r="O4" s="3"/>
    </row>
    <row r="5" spans="1:15" x14ac:dyDescent="0.25">
      <c r="A5" s="3">
        <v>2022</v>
      </c>
      <c r="B5" s="4" t="s">
        <v>82</v>
      </c>
      <c r="C5" s="4" t="s">
        <v>83</v>
      </c>
      <c r="D5" s="5">
        <v>222273</v>
      </c>
      <c r="E5" s="26">
        <v>96.2</v>
      </c>
      <c r="F5" s="26">
        <v>492</v>
      </c>
      <c r="G5" s="26">
        <v>59</v>
      </c>
      <c r="H5" s="26"/>
      <c r="I5" s="27"/>
      <c r="J5" s="26">
        <v>2660</v>
      </c>
      <c r="K5" s="3"/>
      <c r="L5" s="3"/>
      <c r="M5" s="3"/>
      <c r="N5" s="3"/>
      <c r="O5" s="3"/>
    </row>
    <row r="6" spans="1:15" x14ac:dyDescent="0.25">
      <c r="A6" s="3">
        <v>2022</v>
      </c>
      <c r="B6" s="4" t="s">
        <v>84</v>
      </c>
      <c r="C6" s="4" t="s">
        <v>85</v>
      </c>
      <c r="D6" s="5">
        <v>222274</v>
      </c>
      <c r="E6" s="26">
        <v>105</v>
      </c>
      <c r="F6" s="26">
        <v>482</v>
      </c>
      <c r="G6" s="26">
        <v>59.3</v>
      </c>
      <c r="H6" s="26"/>
      <c r="I6" s="27"/>
      <c r="J6" s="26">
        <v>2950</v>
      </c>
      <c r="K6" s="3"/>
      <c r="L6" s="3"/>
      <c r="M6" s="3"/>
      <c r="N6" s="3"/>
      <c r="O6" s="3"/>
    </row>
    <row r="7" spans="1:15" x14ac:dyDescent="0.25">
      <c r="A7" s="3">
        <v>2022</v>
      </c>
      <c r="B7" s="4" t="s">
        <v>86</v>
      </c>
      <c r="C7" s="4" t="s">
        <v>87</v>
      </c>
      <c r="D7" s="5">
        <v>222275</v>
      </c>
      <c r="E7" s="26">
        <v>95</v>
      </c>
      <c r="F7" s="26">
        <v>479</v>
      </c>
      <c r="G7" s="26">
        <v>58.4</v>
      </c>
      <c r="H7" s="26"/>
      <c r="I7" s="27"/>
      <c r="J7" s="26">
        <v>2650</v>
      </c>
      <c r="K7" s="3"/>
      <c r="L7" s="3"/>
      <c r="M7" s="3"/>
      <c r="N7" s="3"/>
      <c r="O7" s="3"/>
    </row>
    <row r="8" spans="1:15" x14ac:dyDescent="0.25">
      <c r="A8" s="3">
        <v>2022</v>
      </c>
      <c r="B8" s="4" t="s">
        <v>88</v>
      </c>
      <c r="C8" s="4" t="s">
        <v>89</v>
      </c>
      <c r="D8" s="5">
        <v>222276</v>
      </c>
      <c r="E8" s="26">
        <v>97.2</v>
      </c>
      <c r="F8" s="26">
        <v>486</v>
      </c>
      <c r="G8" s="26">
        <v>62.9</v>
      </c>
      <c r="H8" s="26"/>
      <c r="I8" s="27"/>
      <c r="J8" s="26">
        <v>2850</v>
      </c>
      <c r="K8" s="3"/>
      <c r="L8" s="3"/>
      <c r="M8" s="3"/>
      <c r="N8" s="3"/>
      <c r="O8" s="3"/>
    </row>
    <row r="9" spans="1:15" x14ac:dyDescent="0.25">
      <c r="A9" s="3">
        <v>2022</v>
      </c>
      <c r="B9" s="4" t="s">
        <v>90</v>
      </c>
      <c r="C9" s="4" t="s">
        <v>83</v>
      </c>
      <c r="D9" s="5">
        <v>222267</v>
      </c>
      <c r="E9" s="26">
        <v>102</v>
      </c>
      <c r="F9" s="26">
        <v>508</v>
      </c>
      <c r="G9" s="26">
        <v>59.9</v>
      </c>
      <c r="H9" s="26"/>
      <c r="I9" s="27"/>
      <c r="J9" s="26">
        <v>3200</v>
      </c>
      <c r="K9" s="3"/>
      <c r="L9" s="3"/>
      <c r="M9" s="3"/>
      <c r="N9" s="3"/>
      <c r="O9" s="3"/>
    </row>
    <row r="10" spans="1:15" x14ac:dyDescent="0.25">
      <c r="A10" s="3">
        <v>2022</v>
      </c>
      <c r="B10" s="4" t="s">
        <v>91</v>
      </c>
      <c r="C10" s="4" t="s">
        <v>92</v>
      </c>
      <c r="D10" s="5">
        <v>222268</v>
      </c>
      <c r="E10" s="26">
        <v>96</v>
      </c>
      <c r="F10" s="26">
        <v>487</v>
      </c>
      <c r="G10" s="26">
        <v>58.9</v>
      </c>
      <c r="H10" s="26"/>
      <c r="I10" s="27"/>
      <c r="J10" s="26">
        <v>2500</v>
      </c>
      <c r="K10" s="3"/>
      <c r="L10" s="3"/>
      <c r="M10" s="3"/>
      <c r="N10" s="3"/>
      <c r="O10" s="3"/>
    </row>
    <row r="11" spans="1:15" x14ac:dyDescent="0.25">
      <c r="A11" s="3">
        <v>2022</v>
      </c>
      <c r="B11" s="4" t="s">
        <v>93</v>
      </c>
      <c r="C11" s="4" t="s">
        <v>94</v>
      </c>
      <c r="D11" s="5">
        <v>222269</v>
      </c>
      <c r="E11" s="26">
        <v>96.3</v>
      </c>
      <c r="F11" s="26">
        <v>486</v>
      </c>
      <c r="G11" s="26">
        <v>60.8</v>
      </c>
      <c r="H11" s="26"/>
      <c r="I11" s="27"/>
      <c r="J11" s="26">
        <v>3000</v>
      </c>
      <c r="K11" s="3"/>
      <c r="L11" s="3"/>
      <c r="M11" s="3"/>
      <c r="N11" s="3"/>
      <c r="O11" s="3"/>
    </row>
    <row r="12" spans="1:15" x14ac:dyDescent="0.25">
      <c r="A12" s="3">
        <v>2022</v>
      </c>
      <c r="B12" s="4" t="s">
        <v>95</v>
      </c>
      <c r="C12" s="4" t="s">
        <v>96</v>
      </c>
      <c r="D12" s="5">
        <v>222277</v>
      </c>
      <c r="E12" s="26">
        <v>93.4</v>
      </c>
      <c r="F12" s="26">
        <v>479</v>
      </c>
      <c r="G12" s="26">
        <v>60.4</v>
      </c>
      <c r="H12" s="26"/>
      <c r="I12" s="27"/>
      <c r="J12" s="26">
        <v>2950</v>
      </c>
      <c r="K12" s="3"/>
      <c r="L12" s="3"/>
      <c r="M12" s="3"/>
      <c r="N12" s="3"/>
      <c r="O12" s="3"/>
    </row>
    <row r="13" spans="1:15" x14ac:dyDescent="0.25">
      <c r="A13" s="3">
        <v>2022</v>
      </c>
      <c r="B13" s="4" t="s">
        <v>97</v>
      </c>
      <c r="C13" s="4" t="s">
        <v>98</v>
      </c>
      <c r="D13" s="5">
        <v>222278</v>
      </c>
      <c r="E13" s="26">
        <v>107</v>
      </c>
      <c r="F13" s="26">
        <v>502</v>
      </c>
      <c r="G13" s="26">
        <v>60.3</v>
      </c>
      <c r="H13" s="26"/>
      <c r="I13" s="27"/>
      <c r="J13" s="26">
        <v>2850</v>
      </c>
      <c r="K13" s="3"/>
      <c r="L13" s="3"/>
      <c r="M13" s="3"/>
      <c r="N13" s="3"/>
      <c r="O13" s="3"/>
    </row>
    <row r="14" spans="1:15" x14ac:dyDescent="0.25">
      <c r="A14" s="3">
        <v>2022</v>
      </c>
      <c r="B14" s="4" t="s">
        <v>99</v>
      </c>
      <c r="C14" s="4" t="s">
        <v>100</v>
      </c>
      <c r="D14" s="5">
        <v>222279</v>
      </c>
      <c r="E14" s="26">
        <v>102.3</v>
      </c>
      <c r="F14" s="26">
        <v>495</v>
      </c>
      <c r="G14" s="26">
        <v>59.5</v>
      </c>
      <c r="H14" s="26"/>
      <c r="I14" s="27"/>
      <c r="J14" s="26">
        <v>3100</v>
      </c>
      <c r="K14" s="3"/>
      <c r="L14" s="3"/>
      <c r="M14" s="3"/>
      <c r="N14" s="3"/>
      <c r="O14" s="3"/>
    </row>
    <row r="15" spans="1:15" x14ac:dyDescent="0.25">
      <c r="A15" s="3">
        <v>2022</v>
      </c>
      <c r="B15" s="4" t="s">
        <v>101</v>
      </c>
      <c r="C15" s="4" t="s">
        <v>102</v>
      </c>
      <c r="D15" s="5">
        <v>222280</v>
      </c>
      <c r="E15" s="26">
        <v>99.6</v>
      </c>
      <c r="F15" s="26">
        <v>484</v>
      </c>
      <c r="G15" s="26">
        <v>61.2</v>
      </c>
      <c r="H15" s="26"/>
      <c r="I15" s="27"/>
      <c r="J15" s="26">
        <v>3325</v>
      </c>
      <c r="K15" s="3"/>
      <c r="L15" s="3"/>
      <c r="M15" s="3"/>
      <c r="N15" s="3"/>
      <c r="O15" s="3"/>
    </row>
    <row r="16" spans="1:15" x14ac:dyDescent="0.25">
      <c r="A16" s="3">
        <v>2022</v>
      </c>
      <c r="B16" s="4" t="s">
        <v>103</v>
      </c>
      <c r="C16" s="4" t="s">
        <v>104</v>
      </c>
      <c r="D16" s="5">
        <v>222281</v>
      </c>
      <c r="E16" s="26">
        <v>96.7</v>
      </c>
      <c r="F16" s="26">
        <v>489</v>
      </c>
      <c r="G16" s="26">
        <v>62.9</v>
      </c>
      <c r="H16" s="26"/>
      <c r="I16" s="27"/>
      <c r="J16" s="26">
        <v>3200</v>
      </c>
      <c r="K16" s="3"/>
      <c r="L16" s="3"/>
      <c r="M16" s="3"/>
      <c r="N16" s="3"/>
      <c r="O16" s="3"/>
    </row>
    <row r="17" spans="1:15" x14ac:dyDescent="0.25">
      <c r="A17" s="6">
        <v>2005</v>
      </c>
      <c r="B17" s="6"/>
      <c r="C17" s="6"/>
      <c r="D17" s="7" t="s">
        <v>45</v>
      </c>
      <c r="E17" s="28"/>
      <c r="F17" s="28"/>
      <c r="G17" s="28"/>
      <c r="H17" s="28"/>
      <c r="I17" s="29"/>
      <c r="J17" s="29">
        <v>3075</v>
      </c>
      <c r="K17" s="6">
        <v>1</v>
      </c>
      <c r="L17" s="6"/>
      <c r="M17" s="6"/>
      <c r="N17" s="6"/>
      <c r="O17" s="6"/>
    </row>
    <row r="18" spans="1:15" x14ac:dyDescent="0.25">
      <c r="A18" s="6">
        <v>2005</v>
      </c>
      <c r="B18" s="6"/>
      <c r="C18" s="6"/>
      <c r="D18" s="7" t="s">
        <v>46</v>
      </c>
      <c r="E18" s="28"/>
      <c r="F18" s="28"/>
      <c r="G18" s="28"/>
      <c r="H18" s="28"/>
      <c r="I18" s="29" t="s">
        <v>14</v>
      </c>
      <c r="J18" s="29">
        <v>3050</v>
      </c>
      <c r="K18" s="6">
        <v>2</v>
      </c>
      <c r="L18" s="6"/>
      <c r="M18" s="6"/>
      <c r="N18" s="6"/>
      <c r="O18" s="6"/>
    </row>
    <row r="19" spans="1:15" x14ac:dyDescent="0.25">
      <c r="A19" s="6">
        <v>2005</v>
      </c>
      <c r="B19" s="6"/>
      <c r="C19" s="6"/>
      <c r="D19" s="7" t="s">
        <v>47</v>
      </c>
      <c r="E19" s="28"/>
      <c r="F19" s="28"/>
      <c r="G19" s="28"/>
      <c r="H19" s="28"/>
      <c r="I19" s="29" t="s">
        <v>14</v>
      </c>
      <c r="J19" s="29">
        <v>3000</v>
      </c>
      <c r="K19" s="6">
        <v>3</v>
      </c>
      <c r="L19" s="6"/>
      <c r="M19" s="6"/>
      <c r="N19" s="6"/>
      <c r="O19" s="6"/>
    </row>
    <row r="20" spans="1:15" x14ac:dyDescent="0.25">
      <c r="A20" s="6">
        <v>2005</v>
      </c>
      <c r="B20" s="6"/>
      <c r="C20" s="6"/>
      <c r="D20" s="7" t="s">
        <v>48</v>
      </c>
      <c r="E20" s="28"/>
      <c r="F20" s="28"/>
      <c r="G20" s="28"/>
      <c r="H20" s="28"/>
      <c r="I20" s="29" t="s">
        <v>14</v>
      </c>
      <c r="J20" s="29">
        <v>3250</v>
      </c>
      <c r="K20" s="6">
        <v>4</v>
      </c>
      <c r="L20" s="6"/>
      <c r="M20" s="6"/>
      <c r="N20" s="6"/>
      <c r="O20" s="6"/>
    </row>
    <row r="21" spans="1:15" x14ac:dyDescent="0.25">
      <c r="A21" s="6">
        <v>2005</v>
      </c>
      <c r="B21" s="6"/>
      <c r="C21" s="6"/>
      <c r="D21" s="7" t="s">
        <v>49</v>
      </c>
      <c r="E21" s="28"/>
      <c r="F21" s="28"/>
      <c r="G21" s="28"/>
      <c r="H21" s="28"/>
      <c r="I21" s="29"/>
      <c r="J21" s="29">
        <v>2650</v>
      </c>
      <c r="K21" s="6">
        <v>5</v>
      </c>
      <c r="L21" s="6"/>
      <c r="M21" s="6"/>
      <c r="N21" s="6"/>
      <c r="O21" s="6"/>
    </row>
    <row r="22" spans="1:15" x14ac:dyDescent="0.25">
      <c r="A22" s="6">
        <v>2005</v>
      </c>
      <c r="B22" s="6"/>
      <c r="C22" s="6"/>
      <c r="D22" s="7" t="s">
        <v>50</v>
      </c>
      <c r="E22" s="28"/>
      <c r="F22" s="28"/>
      <c r="G22" s="28"/>
      <c r="H22" s="28"/>
      <c r="I22" s="29"/>
      <c r="J22" s="29">
        <v>3125</v>
      </c>
      <c r="K22" s="6">
        <v>6</v>
      </c>
      <c r="L22" s="6"/>
      <c r="M22" s="6"/>
      <c r="N22" s="6"/>
      <c r="O22" s="6"/>
    </row>
    <row r="23" spans="1:15" x14ac:dyDescent="0.25">
      <c r="A23" s="6">
        <v>2005</v>
      </c>
      <c r="B23" s="6"/>
      <c r="C23" s="6"/>
      <c r="D23" s="7" t="s">
        <v>51</v>
      </c>
      <c r="E23" s="28"/>
      <c r="F23" s="28"/>
      <c r="G23" s="28"/>
      <c r="H23" s="28"/>
      <c r="I23" s="29"/>
      <c r="J23" s="29">
        <v>3025</v>
      </c>
      <c r="K23" s="6">
        <v>7</v>
      </c>
      <c r="L23" s="6"/>
      <c r="M23" s="6"/>
      <c r="N23" s="6"/>
      <c r="O23" s="6"/>
    </row>
    <row r="24" spans="1:15" x14ac:dyDescent="0.25">
      <c r="A24" s="6">
        <v>2005</v>
      </c>
      <c r="B24" s="6"/>
      <c r="C24" s="6"/>
      <c r="D24" s="7" t="s">
        <v>52</v>
      </c>
      <c r="E24" s="28"/>
      <c r="F24" s="28"/>
      <c r="G24" s="28"/>
      <c r="H24" s="28"/>
      <c r="I24" s="29"/>
      <c r="J24" s="29">
        <v>2875</v>
      </c>
      <c r="K24" s="6">
        <v>8</v>
      </c>
      <c r="L24" s="6"/>
      <c r="M24" s="6"/>
      <c r="N24" s="6"/>
      <c r="O24" s="6"/>
    </row>
    <row r="25" spans="1:15" x14ac:dyDescent="0.25">
      <c r="A25" s="6">
        <v>2005</v>
      </c>
      <c r="B25" s="6"/>
      <c r="C25" s="6"/>
      <c r="D25" s="7" t="s">
        <v>53</v>
      </c>
      <c r="E25" s="28"/>
      <c r="F25" s="28"/>
      <c r="G25" s="28"/>
      <c r="H25" s="28"/>
      <c r="I25" s="29"/>
      <c r="J25" s="29">
        <v>3000</v>
      </c>
      <c r="K25" s="6">
        <v>9</v>
      </c>
      <c r="L25" s="6"/>
      <c r="M25" s="6"/>
      <c r="N25" s="6"/>
      <c r="O25" s="6"/>
    </row>
    <row r="26" spans="1:15" x14ac:dyDescent="0.25">
      <c r="A26" s="6">
        <v>2005</v>
      </c>
      <c r="B26" s="6"/>
      <c r="C26" s="6"/>
      <c r="D26" s="7" t="s">
        <v>2</v>
      </c>
      <c r="E26" s="28"/>
      <c r="F26" s="28"/>
      <c r="G26" s="28"/>
      <c r="H26" s="28"/>
      <c r="I26" s="29"/>
      <c r="J26" s="29">
        <v>3375</v>
      </c>
      <c r="K26" s="6">
        <v>10</v>
      </c>
      <c r="L26" s="6"/>
      <c r="M26" s="6"/>
      <c r="N26" s="6"/>
      <c r="O26" s="6"/>
    </row>
    <row r="27" spans="1:15" x14ac:dyDescent="0.25">
      <c r="A27" s="6">
        <v>2005</v>
      </c>
      <c r="B27" s="6"/>
      <c r="C27" s="6"/>
      <c r="D27" s="7" t="s">
        <v>3</v>
      </c>
      <c r="E27" s="28"/>
      <c r="F27" s="28"/>
      <c r="G27" s="28"/>
      <c r="H27" s="28"/>
      <c r="I27" s="29" t="s">
        <v>15</v>
      </c>
      <c r="J27" s="29">
        <v>3000</v>
      </c>
      <c r="K27" s="6">
        <v>11</v>
      </c>
      <c r="L27" s="6"/>
      <c r="M27" s="6"/>
      <c r="N27" s="6"/>
      <c r="O27" s="6"/>
    </row>
    <row r="28" spans="1:15" x14ac:dyDescent="0.25">
      <c r="A28" s="6">
        <v>2005</v>
      </c>
      <c r="B28" s="6"/>
      <c r="C28" s="6"/>
      <c r="D28" s="7" t="s">
        <v>4</v>
      </c>
      <c r="E28" s="28"/>
      <c r="F28" s="28"/>
      <c r="G28" s="28"/>
      <c r="H28" s="28"/>
      <c r="I28" s="29"/>
      <c r="J28" s="29">
        <v>3375</v>
      </c>
      <c r="K28" s="6">
        <v>12</v>
      </c>
      <c r="L28" s="6"/>
      <c r="M28" s="6"/>
      <c r="N28" s="6"/>
      <c r="O28" s="6"/>
    </row>
    <row r="29" spans="1:15" x14ac:dyDescent="0.25">
      <c r="A29" s="6">
        <v>2005</v>
      </c>
      <c r="B29" s="6"/>
      <c r="C29" s="6"/>
      <c r="D29" s="7" t="s">
        <v>5</v>
      </c>
      <c r="E29" s="28"/>
      <c r="F29" s="28"/>
      <c r="G29" s="28"/>
      <c r="H29" s="28"/>
      <c r="I29" s="29" t="s">
        <v>14</v>
      </c>
      <c r="J29" s="29">
        <v>3000</v>
      </c>
      <c r="K29" s="6">
        <v>13</v>
      </c>
      <c r="L29" s="6"/>
      <c r="M29" s="6"/>
      <c r="N29" s="6"/>
      <c r="O29" s="6"/>
    </row>
    <row r="30" spans="1:15" x14ac:dyDescent="0.25">
      <c r="A30" s="6">
        <v>2005</v>
      </c>
      <c r="B30" s="6"/>
      <c r="C30" s="6"/>
      <c r="D30" s="7" t="s">
        <v>6</v>
      </c>
      <c r="E30" s="28"/>
      <c r="F30" s="28"/>
      <c r="G30" s="28"/>
      <c r="H30" s="28"/>
      <c r="I30" s="29"/>
      <c r="J30" s="29">
        <v>3375</v>
      </c>
      <c r="K30" s="6">
        <v>14</v>
      </c>
      <c r="L30" s="6"/>
      <c r="M30" s="6"/>
      <c r="N30" s="6"/>
      <c r="O30" s="6"/>
    </row>
    <row r="31" spans="1:15" x14ac:dyDescent="0.25">
      <c r="A31" s="6">
        <v>2005</v>
      </c>
      <c r="B31" s="6"/>
      <c r="C31" s="6"/>
      <c r="D31" s="7" t="s">
        <v>7</v>
      </c>
      <c r="E31" s="28"/>
      <c r="F31" s="28"/>
      <c r="G31" s="28"/>
      <c r="H31" s="28"/>
      <c r="I31" s="29"/>
      <c r="J31" s="29">
        <v>3275</v>
      </c>
      <c r="K31" s="6">
        <v>15</v>
      </c>
      <c r="L31" s="6"/>
      <c r="M31" s="6"/>
      <c r="N31" s="6"/>
      <c r="O31" s="6"/>
    </row>
    <row r="32" spans="1:15" x14ac:dyDescent="0.25">
      <c r="A32" s="6">
        <v>2005</v>
      </c>
      <c r="B32" s="6"/>
      <c r="C32" s="6"/>
      <c r="D32" s="7" t="s">
        <v>8</v>
      </c>
      <c r="E32" s="28"/>
      <c r="F32" s="28"/>
      <c r="G32" s="28"/>
      <c r="H32" s="28"/>
      <c r="I32" s="29"/>
      <c r="J32" s="29">
        <v>2875</v>
      </c>
      <c r="K32" s="6">
        <v>16</v>
      </c>
      <c r="L32" s="6"/>
      <c r="M32" s="6"/>
      <c r="N32" s="6"/>
      <c r="O32" s="6"/>
    </row>
    <row r="33" spans="1:15" x14ac:dyDescent="0.25">
      <c r="A33" s="6">
        <v>2005</v>
      </c>
      <c r="B33" s="6"/>
      <c r="C33" s="6"/>
      <c r="D33" s="7" t="s">
        <v>9</v>
      </c>
      <c r="E33" s="28"/>
      <c r="F33" s="28"/>
      <c r="G33" s="28"/>
      <c r="H33" s="28"/>
      <c r="I33" s="29"/>
      <c r="J33" s="29">
        <v>2900</v>
      </c>
      <c r="K33" s="6">
        <v>17</v>
      </c>
      <c r="L33" s="6"/>
      <c r="M33" s="6"/>
      <c r="N33" s="6"/>
      <c r="O33" s="6"/>
    </row>
    <row r="34" spans="1:15" x14ac:dyDescent="0.25">
      <c r="A34" s="6">
        <v>2005</v>
      </c>
      <c r="B34" s="6"/>
      <c r="C34" s="6"/>
      <c r="D34" s="7" t="s">
        <v>10</v>
      </c>
      <c r="E34" s="28"/>
      <c r="F34" s="28"/>
      <c r="G34" s="28"/>
      <c r="H34" s="28"/>
      <c r="I34" s="29"/>
      <c r="J34" s="29">
        <v>3150</v>
      </c>
      <c r="K34" s="6">
        <v>18</v>
      </c>
      <c r="L34" s="6"/>
      <c r="M34" s="6"/>
      <c r="N34" s="6"/>
      <c r="O34" s="6"/>
    </row>
    <row r="35" spans="1:15" x14ac:dyDescent="0.25">
      <c r="A35" s="6">
        <v>2005</v>
      </c>
      <c r="B35" s="6"/>
      <c r="C35" s="6"/>
      <c r="D35" s="7" t="s">
        <v>11</v>
      </c>
      <c r="E35" s="28"/>
      <c r="F35" s="28"/>
      <c r="G35" s="28"/>
      <c r="H35" s="28"/>
      <c r="I35" s="29" t="s">
        <v>15</v>
      </c>
      <c r="J35" s="29">
        <v>3125</v>
      </c>
      <c r="K35" s="6">
        <v>19</v>
      </c>
      <c r="L35" s="6"/>
      <c r="M35" s="6"/>
      <c r="N35" s="6"/>
      <c r="O35" s="6"/>
    </row>
    <row r="36" spans="1:15" x14ac:dyDescent="0.25">
      <c r="A36" s="6">
        <v>2005</v>
      </c>
      <c r="B36" s="6"/>
      <c r="C36" s="6"/>
      <c r="D36" s="7" t="s">
        <v>12</v>
      </c>
      <c r="E36" s="28"/>
      <c r="F36" s="28"/>
      <c r="G36" s="28"/>
      <c r="H36" s="28"/>
      <c r="I36" s="29"/>
      <c r="J36" s="29">
        <v>3250</v>
      </c>
      <c r="K36" s="6">
        <v>20</v>
      </c>
      <c r="L36" s="6"/>
      <c r="M36" s="6"/>
      <c r="N36" s="6"/>
      <c r="O36" s="6"/>
    </row>
    <row r="37" spans="1:15" x14ac:dyDescent="0.25">
      <c r="A37" s="6">
        <v>2005</v>
      </c>
      <c r="B37" s="6"/>
      <c r="C37" s="6"/>
      <c r="D37" s="7" t="s">
        <v>13</v>
      </c>
      <c r="E37" s="28"/>
      <c r="F37" s="28"/>
      <c r="G37" s="28"/>
      <c r="H37" s="28"/>
      <c r="I37" s="29" t="s">
        <v>14</v>
      </c>
      <c r="J37" s="29">
        <v>3375</v>
      </c>
      <c r="K37" s="6">
        <v>21</v>
      </c>
      <c r="L37" s="6"/>
      <c r="M37" s="6"/>
      <c r="N37" s="6"/>
      <c r="O37" s="6"/>
    </row>
    <row r="38" spans="1:15" x14ac:dyDescent="0.25">
      <c r="A38" s="8">
        <v>2006</v>
      </c>
      <c r="B38" s="8"/>
      <c r="C38" s="8"/>
      <c r="D38" s="8" t="s">
        <v>16</v>
      </c>
      <c r="E38" s="30"/>
      <c r="F38" s="30"/>
      <c r="G38" s="30"/>
      <c r="H38" s="30"/>
      <c r="I38" s="31"/>
      <c r="J38" s="30">
        <v>3450</v>
      </c>
      <c r="K38" s="8">
        <v>1</v>
      </c>
      <c r="L38" s="8">
        <v>82</v>
      </c>
      <c r="M38" s="8"/>
      <c r="N38" s="8"/>
      <c r="O38" s="8"/>
    </row>
    <row r="39" spans="1:15" x14ac:dyDescent="0.25">
      <c r="A39" s="8">
        <v>2006</v>
      </c>
      <c r="B39" s="8"/>
      <c r="C39" s="8"/>
      <c r="D39" s="8" t="str">
        <f>"GPS" &amp; L39 &amp; ".Tag" &amp; K39</f>
        <v>GPS79.Tag2</v>
      </c>
      <c r="E39" s="30"/>
      <c r="F39" s="30"/>
      <c r="G39" s="30"/>
      <c r="H39" s="30"/>
      <c r="I39" s="31"/>
      <c r="J39" s="30">
        <v>3250</v>
      </c>
      <c r="K39" s="8">
        <v>2</v>
      </c>
      <c r="L39" s="8">
        <v>79</v>
      </c>
      <c r="M39" s="8"/>
      <c r="N39" s="8"/>
      <c r="O39" s="8"/>
    </row>
    <row r="40" spans="1:15" x14ac:dyDescent="0.25">
      <c r="A40" s="8">
        <v>2006</v>
      </c>
      <c r="B40" s="8"/>
      <c r="C40" s="8"/>
      <c r="D40" s="8" t="str">
        <f>"GPS" &amp; L40 &amp; ".Tag" &amp; K40</f>
        <v>GPS79.Tag3</v>
      </c>
      <c r="E40" s="30"/>
      <c r="F40" s="30"/>
      <c r="G40" s="30"/>
      <c r="H40" s="30"/>
      <c r="I40" s="31"/>
      <c r="J40" s="30">
        <v>3050</v>
      </c>
      <c r="K40" s="8">
        <v>3</v>
      </c>
      <c r="L40" s="8">
        <v>79</v>
      </c>
      <c r="M40" s="8"/>
      <c r="N40" s="8"/>
      <c r="O40" s="8"/>
    </row>
    <row r="41" spans="1:15" x14ac:dyDescent="0.25">
      <c r="A41" s="8">
        <v>2006</v>
      </c>
      <c r="B41" s="8"/>
      <c r="C41" s="8"/>
      <c r="D41" s="8" t="s">
        <v>17</v>
      </c>
      <c r="E41" s="30"/>
      <c r="F41" s="30"/>
      <c r="G41" s="30"/>
      <c r="H41" s="30"/>
      <c r="I41" s="31"/>
      <c r="J41" s="30">
        <v>3000</v>
      </c>
      <c r="K41" s="8">
        <v>4</v>
      </c>
      <c r="L41" s="8">
        <v>82</v>
      </c>
      <c r="M41" s="8"/>
      <c r="N41" s="8"/>
      <c r="O41" s="8"/>
    </row>
    <row r="42" spans="1:15" x14ac:dyDescent="0.25">
      <c r="A42" s="8">
        <v>2006</v>
      </c>
      <c r="B42" s="8"/>
      <c r="C42" s="8"/>
      <c r="D42" s="8" t="s">
        <v>18</v>
      </c>
      <c r="E42" s="30"/>
      <c r="F42" s="30"/>
      <c r="G42" s="30"/>
      <c r="H42" s="30"/>
      <c r="I42" s="31"/>
      <c r="J42" s="30">
        <v>3050</v>
      </c>
      <c r="K42" s="8">
        <v>5</v>
      </c>
      <c r="L42" s="8">
        <v>81</v>
      </c>
      <c r="M42" s="8"/>
      <c r="N42" s="8"/>
      <c r="O42" s="8"/>
    </row>
    <row r="43" spans="1:15" x14ac:dyDescent="0.25">
      <c r="A43" s="8">
        <v>2006</v>
      </c>
      <c r="B43" s="8"/>
      <c r="C43" s="8"/>
      <c r="D43" s="8" t="str">
        <f>"GPS" &amp; L43 &amp; ".Tag" &amp; K43</f>
        <v>GPS104.Tag6</v>
      </c>
      <c r="E43" s="30"/>
      <c r="F43" s="30"/>
      <c r="G43" s="30"/>
      <c r="H43" s="30"/>
      <c r="I43" s="31"/>
      <c r="J43" s="30">
        <v>3050</v>
      </c>
      <c r="K43" s="8">
        <v>6</v>
      </c>
      <c r="L43" s="8">
        <v>104</v>
      </c>
      <c r="M43" s="8"/>
      <c r="N43" s="8"/>
      <c r="O43" s="8"/>
    </row>
    <row r="44" spans="1:15" x14ac:dyDescent="0.25">
      <c r="A44" s="8">
        <v>2006</v>
      </c>
      <c r="B44" s="8"/>
      <c r="C44" s="8"/>
      <c r="D44" s="8" t="s">
        <v>19</v>
      </c>
      <c r="E44" s="30"/>
      <c r="F44" s="30"/>
      <c r="G44" s="30"/>
      <c r="H44" s="30"/>
      <c r="I44" s="31"/>
      <c r="J44" s="30">
        <v>3250</v>
      </c>
      <c r="K44" s="8">
        <v>7</v>
      </c>
      <c r="L44" s="8">
        <v>16</v>
      </c>
      <c r="M44" s="8"/>
      <c r="N44" s="8"/>
      <c r="O44" s="8"/>
    </row>
    <row r="45" spans="1:15" x14ac:dyDescent="0.25">
      <c r="A45" s="8">
        <v>2006</v>
      </c>
      <c r="B45" s="8"/>
      <c r="C45" s="8"/>
      <c r="D45" s="8" t="str">
        <f>"GPS" &amp; L45 &amp; ".Tag" &amp; K45</f>
        <v>GPS99.Tag8</v>
      </c>
      <c r="E45" s="30"/>
      <c r="F45" s="30"/>
      <c r="G45" s="30"/>
      <c r="H45" s="30"/>
      <c r="I45" s="31"/>
      <c r="J45" s="30">
        <v>3050</v>
      </c>
      <c r="K45" s="8">
        <v>8</v>
      </c>
      <c r="L45" s="8">
        <v>99</v>
      </c>
      <c r="M45" s="8"/>
      <c r="N45" s="8"/>
      <c r="O45" s="8"/>
    </row>
    <row r="46" spans="1:15" x14ac:dyDescent="0.25">
      <c r="A46" s="8">
        <v>2006</v>
      </c>
      <c r="B46" s="8"/>
      <c r="C46" s="8"/>
      <c r="D46" s="8" t="s">
        <v>20</v>
      </c>
      <c r="E46" s="30"/>
      <c r="F46" s="30"/>
      <c r="G46" s="30"/>
      <c r="H46" s="30"/>
      <c r="I46" s="31"/>
      <c r="J46" s="30">
        <v>3600</v>
      </c>
      <c r="K46" s="8">
        <v>9</v>
      </c>
      <c r="L46" s="8">
        <v>82</v>
      </c>
      <c r="M46" s="8"/>
      <c r="N46" s="8"/>
      <c r="O46" s="8"/>
    </row>
    <row r="47" spans="1:15" x14ac:dyDescent="0.25">
      <c r="A47" s="8">
        <v>2006</v>
      </c>
      <c r="B47" s="8"/>
      <c r="C47" s="8"/>
      <c r="D47" s="8" t="str">
        <f>"GPS" &amp; L47 &amp; ".Tag" &amp; K47</f>
        <v>GPS79.Tag10</v>
      </c>
      <c r="E47" s="30"/>
      <c r="F47" s="30"/>
      <c r="G47" s="30"/>
      <c r="H47" s="30"/>
      <c r="I47" s="31"/>
      <c r="J47" s="30">
        <v>3275</v>
      </c>
      <c r="K47" s="8">
        <v>10</v>
      </c>
      <c r="L47" s="8">
        <v>79</v>
      </c>
      <c r="M47" s="8"/>
      <c r="N47" s="8"/>
      <c r="O47" s="8"/>
    </row>
    <row r="48" spans="1:15" x14ac:dyDescent="0.25">
      <c r="A48" s="8">
        <v>2006</v>
      </c>
      <c r="B48" s="8"/>
      <c r="C48" s="8"/>
      <c r="D48" s="8" t="str">
        <f>"GPS" &amp; L48 &amp; ".Tag" &amp; K48</f>
        <v>GPS104.Tag11</v>
      </c>
      <c r="E48" s="30"/>
      <c r="F48" s="30"/>
      <c r="G48" s="30"/>
      <c r="H48" s="30"/>
      <c r="I48" s="31"/>
      <c r="J48" s="30">
        <v>3250</v>
      </c>
      <c r="K48" s="8">
        <v>11</v>
      </c>
      <c r="L48" s="8">
        <v>104</v>
      </c>
      <c r="M48" s="8"/>
      <c r="N48" s="8"/>
      <c r="O48" s="8"/>
    </row>
    <row r="49" spans="1:15" x14ac:dyDescent="0.25">
      <c r="A49" s="8">
        <v>2006</v>
      </c>
      <c r="B49" s="8"/>
      <c r="C49" s="8"/>
      <c r="D49" s="8" t="str">
        <f>"GPS" &amp; L49 &amp; ".Tag" &amp; K49</f>
        <v>GPS100.Tag12</v>
      </c>
      <c r="E49" s="30"/>
      <c r="F49" s="30"/>
      <c r="G49" s="30"/>
      <c r="H49" s="30"/>
      <c r="I49" s="31"/>
      <c r="J49" s="30">
        <v>3550</v>
      </c>
      <c r="K49" s="8">
        <v>12</v>
      </c>
      <c r="L49" s="8">
        <v>100</v>
      </c>
      <c r="M49" s="8"/>
      <c r="N49" s="8"/>
      <c r="O49" s="8"/>
    </row>
    <row r="50" spans="1:15" x14ac:dyDescent="0.25">
      <c r="A50" s="8">
        <v>2006</v>
      </c>
      <c r="B50" s="8"/>
      <c r="C50" s="8"/>
      <c r="D50" s="8" t="s">
        <v>21</v>
      </c>
      <c r="E50" s="30"/>
      <c r="F50" s="30"/>
      <c r="G50" s="30"/>
      <c r="H50" s="30"/>
      <c r="I50" s="31"/>
      <c r="J50" s="30">
        <v>2800</v>
      </c>
      <c r="K50" s="8">
        <v>13</v>
      </c>
      <c r="L50" s="8">
        <v>81</v>
      </c>
      <c r="M50" s="8"/>
      <c r="N50" s="8"/>
      <c r="O50" s="8"/>
    </row>
    <row r="51" spans="1:15" x14ac:dyDescent="0.25">
      <c r="A51" s="8">
        <v>2006</v>
      </c>
      <c r="B51" s="8"/>
      <c r="C51" s="8"/>
      <c r="D51" s="8" t="str">
        <f>"GPS" &amp; L51 &amp; ".Tag" &amp; K51</f>
        <v>GPS99.Tag14</v>
      </c>
      <c r="E51" s="30"/>
      <c r="F51" s="30"/>
      <c r="G51" s="30"/>
      <c r="H51" s="30"/>
      <c r="I51" s="31"/>
      <c r="J51" s="30">
        <v>3300</v>
      </c>
      <c r="K51" s="8">
        <v>14</v>
      </c>
      <c r="L51" s="8">
        <v>99</v>
      </c>
      <c r="M51" s="8"/>
      <c r="N51" s="8"/>
      <c r="O51" s="8"/>
    </row>
    <row r="52" spans="1:15" x14ac:dyDescent="0.25">
      <c r="A52" s="8">
        <v>2006</v>
      </c>
      <c r="B52" s="8"/>
      <c r="C52" s="8"/>
      <c r="D52" s="8" t="s">
        <v>22</v>
      </c>
      <c r="E52" s="30"/>
      <c r="F52" s="30"/>
      <c r="G52" s="30"/>
      <c r="H52" s="30"/>
      <c r="I52" s="31"/>
      <c r="J52" s="30">
        <v>3250</v>
      </c>
      <c r="K52" s="8">
        <v>15</v>
      </c>
      <c r="L52" s="8">
        <v>82</v>
      </c>
      <c r="M52" s="8"/>
      <c r="N52" s="8"/>
      <c r="O52" s="8"/>
    </row>
    <row r="53" spans="1:15" x14ac:dyDescent="0.25">
      <c r="A53" s="8">
        <v>2006</v>
      </c>
      <c r="B53" s="8"/>
      <c r="C53" s="8"/>
      <c r="D53" s="8" t="str">
        <f>"GPS" &amp; L53 &amp; ".Tag" &amp; K53</f>
        <v>GPS104.Tag16</v>
      </c>
      <c r="E53" s="30"/>
      <c r="F53" s="30"/>
      <c r="G53" s="30"/>
      <c r="H53" s="30"/>
      <c r="I53" s="31"/>
      <c r="J53" s="30">
        <v>2850</v>
      </c>
      <c r="K53" s="8">
        <v>16</v>
      </c>
      <c r="L53" s="8">
        <v>104</v>
      </c>
      <c r="M53" s="8"/>
      <c r="N53" s="8"/>
      <c r="O53" s="8"/>
    </row>
    <row r="54" spans="1:15" x14ac:dyDescent="0.25">
      <c r="A54" s="8">
        <v>2006</v>
      </c>
      <c r="B54" s="8"/>
      <c r="C54" s="8"/>
      <c r="D54" s="8" t="str">
        <f>"GPS" &amp; L54 &amp; ".Tag" &amp; K54</f>
        <v>GPS79.Tag17</v>
      </c>
      <c r="E54" s="30"/>
      <c r="F54" s="30"/>
      <c r="G54" s="30"/>
      <c r="H54" s="30"/>
      <c r="I54" s="31"/>
      <c r="J54" s="30">
        <v>3300</v>
      </c>
      <c r="K54" s="8">
        <v>17</v>
      </c>
      <c r="L54" s="8">
        <v>79</v>
      </c>
      <c r="M54" s="8"/>
      <c r="N54" s="8"/>
      <c r="O54" s="8"/>
    </row>
    <row r="55" spans="1:15" x14ac:dyDescent="0.25">
      <c r="A55" s="8">
        <v>2006</v>
      </c>
      <c r="B55" s="8"/>
      <c r="C55" s="8"/>
      <c r="D55" s="8" t="s">
        <v>23</v>
      </c>
      <c r="E55" s="30"/>
      <c r="F55" s="30"/>
      <c r="G55" s="30"/>
      <c r="H55" s="30"/>
      <c r="I55" s="31"/>
      <c r="J55" s="30">
        <v>3350</v>
      </c>
      <c r="K55" s="8">
        <v>18</v>
      </c>
      <c r="L55" s="8">
        <v>81</v>
      </c>
      <c r="M55" s="8"/>
      <c r="N55" s="8"/>
      <c r="O55" s="8"/>
    </row>
    <row r="56" spans="1:15" x14ac:dyDescent="0.25">
      <c r="A56" s="8">
        <v>2006</v>
      </c>
      <c r="B56" s="8"/>
      <c r="C56" s="8"/>
      <c r="D56" s="8" t="str">
        <f>"GPS" &amp; L56 &amp; ".Tag" &amp; K56</f>
        <v>GPS100.Tag19</v>
      </c>
      <c r="E56" s="30"/>
      <c r="F56" s="30"/>
      <c r="G56" s="30"/>
      <c r="H56" s="30"/>
      <c r="I56" s="31"/>
      <c r="J56" s="30">
        <v>3100</v>
      </c>
      <c r="K56" s="8">
        <v>19</v>
      </c>
      <c r="L56" s="8">
        <v>100</v>
      </c>
      <c r="M56" s="8"/>
      <c r="N56" s="8"/>
      <c r="O56" s="8"/>
    </row>
    <row r="57" spans="1:15" x14ac:dyDescent="0.25">
      <c r="A57" s="8">
        <v>2006</v>
      </c>
      <c r="B57" s="8"/>
      <c r="C57" s="8"/>
      <c r="D57" s="8" t="str">
        <f>"GPS" &amp; L57 &amp; ".Tag" &amp; K57</f>
        <v>GPS104.Tag20</v>
      </c>
      <c r="E57" s="30"/>
      <c r="F57" s="30"/>
      <c r="G57" s="30"/>
      <c r="H57" s="30"/>
      <c r="I57" s="30"/>
      <c r="J57" s="30">
        <v>3450</v>
      </c>
      <c r="K57" s="8">
        <v>20</v>
      </c>
      <c r="L57" s="8">
        <v>104</v>
      </c>
      <c r="M57" s="8"/>
      <c r="N57" s="8"/>
      <c r="O57" s="8"/>
    </row>
    <row r="58" spans="1:15" x14ac:dyDescent="0.25">
      <c r="A58" s="9">
        <v>2010</v>
      </c>
      <c r="B58" s="9"/>
      <c r="C58" s="9"/>
      <c r="D58" s="10" t="s">
        <v>358</v>
      </c>
      <c r="E58" s="32">
        <v>51.4</v>
      </c>
      <c r="F58" s="32">
        <v>100.1</v>
      </c>
      <c r="G58" s="32">
        <v>75.900000000000006</v>
      </c>
      <c r="H58" s="32">
        <v>1.93</v>
      </c>
      <c r="I58" s="32"/>
      <c r="J58" s="33">
        <v>3550</v>
      </c>
      <c r="K58" s="19">
        <v>3</v>
      </c>
      <c r="L58" s="19"/>
      <c r="M58" s="19"/>
      <c r="N58" s="19"/>
      <c r="O58" s="19"/>
    </row>
    <row r="59" spans="1:15" x14ac:dyDescent="0.25">
      <c r="A59" s="9">
        <v>2010</v>
      </c>
      <c r="B59" s="9"/>
      <c r="C59" s="9"/>
      <c r="D59" s="10" t="s">
        <v>38</v>
      </c>
      <c r="E59" s="32">
        <v>49.9</v>
      </c>
      <c r="F59" s="32">
        <v>105.2</v>
      </c>
      <c r="G59" s="32">
        <v>70</v>
      </c>
      <c r="H59" s="32">
        <v>2</v>
      </c>
      <c r="I59" s="32"/>
      <c r="J59" s="33">
        <v>3300</v>
      </c>
      <c r="K59" s="19">
        <v>4</v>
      </c>
      <c r="L59" s="19"/>
      <c r="M59" s="19"/>
      <c r="N59" s="19"/>
      <c r="O59" s="19"/>
    </row>
    <row r="60" spans="1:15" x14ac:dyDescent="0.25">
      <c r="A60" s="9">
        <v>2010</v>
      </c>
      <c r="B60" s="9" t="s">
        <v>144</v>
      </c>
      <c r="C60" s="9"/>
      <c r="D60" s="10" t="s">
        <v>39</v>
      </c>
      <c r="E60" s="32">
        <v>49.5</v>
      </c>
      <c r="F60" s="32">
        <v>101.7</v>
      </c>
      <c r="G60" s="32">
        <v>69.599999999999994</v>
      </c>
      <c r="H60" s="32">
        <v>1.95</v>
      </c>
      <c r="I60" s="32"/>
      <c r="J60" s="33">
        <v>3100</v>
      </c>
      <c r="K60" s="19">
        <v>5</v>
      </c>
      <c r="L60" s="19"/>
      <c r="M60" s="19"/>
      <c r="N60" s="19"/>
      <c r="O60" s="19"/>
    </row>
    <row r="61" spans="1:15" x14ac:dyDescent="0.25">
      <c r="A61" s="9">
        <v>2010</v>
      </c>
      <c r="B61" s="9" t="s">
        <v>145</v>
      </c>
      <c r="C61" s="9"/>
      <c r="D61" s="10" t="s">
        <v>40</v>
      </c>
      <c r="E61" s="32">
        <v>51.1</v>
      </c>
      <c r="F61" s="32">
        <v>111.8</v>
      </c>
      <c r="G61" s="32">
        <v>64.400000000000006</v>
      </c>
      <c r="H61" s="32">
        <v>1.9</v>
      </c>
      <c r="I61" s="32"/>
      <c r="J61" s="33">
        <v>3050</v>
      </c>
      <c r="K61" s="19">
        <v>6</v>
      </c>
      <c r="L61" s="19"/>
      <c r="M61" s="19"/>
      <c r="N61" s="19"/>
      <c r="O61" s="19"/>
    </row>
    <row r="62" spans="1:15" x14ac:dyDescent="0.25">
      <c r="A62" s="9">
        <v>2010</v>
      </c>
      <c r="B62" s="9" t="s">
        <v>146</v>
      </c>
      <c r="C62" s="9"/>
      <c r="D62" s="10" t="s">
        <v>41</v>
      </c>
      <c r="E62" s="32">
        <v>50.6</v>
      </c>
      <c r="F62" s="32">
        <v>100.1</v>
      </c>
      <c r="G62" s="32">
        <v>72.5</v>
      </c>
      <c r="H62" s="32">
        <v>1.88</v>
      </c>
      <c r="I62" s="32"/>
      <c r="J62" s="33">
        <v>3000</v>
      </c>
      <c r="K62" s="19">
        <v>7</v>
      </c>
      <c r="L62" s="19"/>
      <c r="M62" s="19"/>
      <c r="N62" s="19"/>
      <c r="O62" s="19"/>
    </row>
    <row r="63" spans="1:15" x14ac:dyDescent="0.25">
      <c r="A63" s="9">
        <v>2010</v>
      </c>
      <c r="B63" s="9" t="s">
        <v>147</v>
      </c>
      <c r="C63" s="9"/>
      <c r="D63" s="10" t="s">
        <v>42</v>
      </c>
      <c r="E63" s="32">
        <v>50.6</v>
      </c>
      <c r="F63" s="32">
        <v>99.9</v>
      </c>
      <c r="G63" s="32">
        <v>74</v>
      </c>
      <c r="H63" s="32">
        <v>2.1</v>
      </c>
      <c r="I63" s="32"/>
      <c r="J63" s="33">
        <v>3350</v>
      </c>
      <c r="K63" s="19">
        <v>8</v>
      </c>
      <c r="L63" s="19"/>
      <c r="M63" s="19"/>
      <c r="N63" s="19"/>
      <c r="O63" s="19"/>
    </row>
    <row r="64" spans="1:15" x14ac:dyDescent="0.25">
      <c r="A64" s="9">
        <v>2010</v>
      </c>
      <c r="B64" s="9" t="s">
        <v>148</v>
      </c>
      <c r="C64" s="9"/>
      <c r="D64" s="10" t="s">
        <v>43</v>
      </c>
      <c r="E64" s="32">
        <v>51.7</v>
      </c>
      <c r="F64" s="32">
        <v>98.9</v>
      </c>
      <c r="G64" s="32">
        <v>61.7</v>
      </c>
      <c r="H64" s="32">
        <v>2.04</v>
      </c>
      <c r="I64" s="32"/>
      <c r="J64" s="33">
        <v>3200</v>
      </c>
      <c r="K64" s="19">
        <v>9</v>
      </c>
      <c r="L64" s="19"/>
      <c r="M64" s="19"/>
      <c r="N64" s="19"/>
      <c r="O64" s="19"/>
    </row>
    <row r="65" spans="1:15" x14ac:dyDescent="0.25">
      <c r="A65" s="9">
        <v>2010</v>
      </c>
      <c r="B65" s="9" t="s">
        <v>107</v>
      </c>
      <c r="C65" s="9"/>
      <c r="D65" s="10" t="s">
        <v>24</v>
      </c>
      <c r="E65" s="32">
        <v>48.8</v>
      </c>
      <c r="F65" s="32"/>
      <c r="G65" s="32">
        <v>64.099999999999994</v>
      </c>
      <c r="H65" s="32">
        <v>2.0499999999999998</v>
      </c>
      <c r="I65" s="32"/>
      <c r="J65" s="33">
        <v>3300</v>
      </c>
      <c r="K65" s="19">
        <v>10</v>
      </c>
      <c r="L65" s="19"/>
      <c r="M65" s="19"/>
      <c r="N65" s="19"/>
      <c r="O65" s="19"/>
    </row>
    <row r="66" spans="1:15" x14ac:dyDescent="0.25">
      <c r="A66" s="9">
        <v>2010</v>
      </c>
      <c r="B66" s="9" t="s">
        <v>149</v>
      </c>
      <c r="C66" s="9"/>
      <c r="D66" s="10" t="s">
        <v>25</v>
      </c>
      <c r="E66" s="32">
        <v>50.6</v>
      </c>
      <c r="F66" s="32">
        <v>96</v>
      </c>
      <c r="G66" s="32">
        <v>67.7</v>
      </c>
      <c r="H66" s="32">
        <v>2.1</v>
      </c>
      <c r="I66" s="32"/>
      <c r="J66" s="33">
        <v>3250</v>
      </c>
      <c r="K66" s="19">
        <v>11</v>
      </c>
      <c r="L66" s="19"/>
      <c r="M66" s="19"/>
      <c r="N66" s="19"/>
      <c r="O66" s="19"/>
    </row>
    <row r="67" spans="1:15" x14ac:dyDescent="0.25">
      <c r="A67" s="9">
        <v>2010</v>
      </c>
      <c r="B67" s="9" t="s">
        <v>150</v>
      </c>
      <c r="C67" s="9"/>
      <c r="D67" s="10" t="s">
        <v>26</v>
      </c>
      <c r="E67" s="32">
        <v>50.4</v>
      </c>
      <c r="F67" s="32">
        <v>101.1</v>
      </c>
      <c r="G67" s="32">
        <v>66.400000000000006</v>
      </c>
      <c r="H67" s="32">
        <v>1.87</v>
      </c>
      <c r="I67" s="32"/>
      <c r="J67" s="33">
        <v>3200</v>
      </c>
      <c r="K67" s="19">
        <v>13</v>
      </c>
      <c r="L67" s="19"/>
      <c r="M67" s="19"/>
      <c r="N67" s="19"/>
      <c r="O67" s="19"/>
    </row>
    <row r="68" spans="1:15" x14ac:dyDescent="0.25">
      <c r="A68" s="9">
        <v>2010</v>
      </c>
      <c r="B68" s="9" t="s">
        <v>151</v>
      </c>
      <c r="C68" s="9"/>
      <c r="D68" s="10" t="s">
        <v>29</v>
      </c>
      <c r="E68" s="32">
        <v>51.2</v>
      </c>
      <c r="F68" s="32"/>
      <c r="G68" s="32">
        <v>62.3</v>
      </c>
      <c r="H68" s="32">
        <v>1.91</v>
      </c>
      <c r="I68" s="32"/>
      <c r="J68" s="33">
        <v>2850</v>
      </c>
      <c r="K68" s="19">
        <v>15</v>
      </c>
      <c r="L68" s="19"/>
      <c r="M68" s="19"/>
      <c r="N68" s="19"/>
      <c r="O68" s="19"/>
    </row>
    <row r="69" spans="1:15" x14ac:dyDescent="0.25">
      <c r="A69" s="9">
        <v>2010</v>
      </c>
      <c r="B69" s="9" t="s">
        <v>152</v>
      </c>
      <c r="C69" s="9"/>
      <c r="D69" s="10" t="s">
        <v>27</v>
      </c>
      <c r="E69" s="32">
        <v>50.1</v>
      </c>
      <c r="F69" s="32"/>
      <c r="G69" s="32">
        <v>61.3</v>
      </c>
      <c r="H69" s="32">
        <v>1.87</v>
      </c>
      <c r="I69" s="32"/>
      <c r="J69" s="33">
        <v>3150</v>
      </c>
      <c r="K69" s="19">
        <v>16</v>
      </c>
      <c r="L69" s="19"/>
      <c r="M69" s="19"/>
      <c r="N69" s="19"/>
      <c r="O69" s="19"/>
    </row>
    <row r="70" spans="1:15" x14ac:dyDescent="0.25">
      <c r="A70" s="9">
        <v>2010</v>
      </c>
      <c r="B70" s="9" t="s">
        <v>153</v>
      </c>
      <c r="C70" s="9"/>
      <c r="D70" s="10" t="s">
        <v>28</v>
      </c>
      <c r="E70" s="32">
        <v>49.8</v>
      </c>
      <c r="F70" s="32">
        <v>98.5</v>
      </c>
      <c r="G70" s="32">
        <v>72.599999999999994</v>
      </c>
      <c r="H70" s="32">
        <v>1.75</v>
      </c>
      <c r="I70" s="32"/>
      <c r="J70" s="33">
        <v>2850</v>
      </c>
      <c r="K70" s="19">
        <v>17</v>
      </c>
      <c r="L70" s="19"/>
      <c r="M70" s="19"/>
      <c r="N70" s="19"/>
      <c r="O70" s="19"/>
    </row>
    <row r="71" spans="1:15" x14ac:dyDescent="0.25">
      <c r="A71" s="9">
        <v>2010</v>
      </c>
      <c r="B71" s="9" t="s">
        <v>154</v>
      </c>
      <c r="C71" s="9"/>
      <c r="D71" s="10" t="s">
        <v>33</v>
      </c>
      <c r="E71" s="32">
        <v>50</v>
      </c>
      <c r="F71" s="32"/>
      <c r="G71" s="32">
        <v>69.2</v>
      </c>
      <c r="H71" s="32">
        <v>1.85</v>
      </c>
      <c r="I71" s="32"/>
      <c r="J71" s="33">
        <v>3300</v>
      </c>
      <c r="K71" s="19">
        <v>18</v>
      </c>
      <c r="L71" s="19"/>
      <c r="M71" s="19"/>
      <c r="N71" s="19"/>
      <c r="O71" s="19"/>
    </row>
    <row r="72" spans="1:15" x14ac:dyDescent="0.25">
      <c r="A72" s="9">
        <v>2010</v>
      </c>
      <c r="B72" s="9" t="s">
        <v>155</v>
      </c>
      <c r="C72" s="9"/>
      <c r="D72" s="10" t="s">
        <v>30</v>
      </c>
      <c r="E72" s="32">
        <v>49.1</v>
      </c>
      <c r="F72" s="32">
        <v>106.2</v>
      </c>
      <c r="G72" s="32">
        <v>70.2</v>
      </c>
      <c r="H72" s="32">
        <v>1.81</v>
      </c>
      <c r="I72" s="32"/>
      <c r="J72" s="33">
        <v>3700</v>
      </c>
      <c r="K72" s="19">
        <v>19</v>
      </c>
      <c r="L72" s="19"/>
      <c r="M72" s="19"/>
      <c r="N72" s="19"/>
      <c r="O72" s="19"/>
    </row>
    <row r="73" spans="1:15" x14ac:dyDescent="0.25">
      <c r="A73" s="9">
        <v>2010</v>
      </c>
      <c r="B73" s="9"/>
      <c r="C73" s="9"/>
      <c r="D73" s="10" t="s">
        <v>31</v>
      </c>
      <c r="E73" s="32">
        <v>47.8</v>
      </c>
      <c r="F73" s="32"/>
      <c r="G73" s="32">
        <v>59.8</v>
      </c>
      <c r="H73" s="32">
        <v>2.17</v>
      </c>
      <c r="I73" s="32"/>
      <c r="J73" s="33">
        <v>2850</v>
      </c>
      <c r="K73" s="19">
        <v>22</v>
      </c>
      <c r="L73" s="19"/>
      <c r="M73" s="19"/>
      <c r="N73" s="19"/>
      <c r="O73" s="19"/>
    </row>
    <row r="74" spans="1:15" x14ac:dyDescent="0.25">
      <c r="A74" s="9">
        <v>2010</v>
      </c>
      <c r="B74" s="9"/>
      <c r="C74" s="9"/>
      <c r="D74" s="10" t="s">
        <v>32</v>
      </c>
      <c r="E74" s="32">
        <v>49.5</v>
      </c>
      <c r="F74" s="32"/>
      <c r="G74" s="32">
        <v>62.1</v>
      </c>
      <c r="H74" s="32"/>
      <c r="I74" s="32"/>
      <c r="J74" s="33">
        <v>3000</v>
      </c>
      <c r="K74" s="19">
        <v>23</v>
      </c>
      <c r="L74" s="19"/>
      <c r="M74" s="19"/>
      <c r="N74" s="19"/>
      <c r="O74" s="19"/>
    </row>
    <row r="75" spans="1:15" x14ac:dyDescent="0.25">
      <c r="A75" s="9">
        <v>2010</v>
      </c>
      <c r="B75" s="9"/>
      <c r="C75" s="9"/>
      <c r="D75" s="10" t="s">
        <v>34</v>
      </c>
      <c r="E75" s="32">
        <v>49.8</v>
      </c>
      <c r="F75" s="32"/>
      <c r="G75" s="32">
        <v>67</v>
      </c>
      <c r="H75" s="32">
        <v>2.2400000000000002</v>
      </c>
      <c r="I75" s="32"/>
      <c r="J75" s="33">
        <v>3500</v>
      </c>
      <c r="K75" s="19">
        <v>25</v>
      </c>
      <c r="L75" s="19"/>
      <c r="M75" s="19"/>
      <c r="N75" s="19"/>
      <c r="O75" s="19"/>
    </row>
    <row r="76" spans="1:15" x14ac:dyDescent="0.25">
      <c r="A76" s="9">
        <v>2010</v>
      </c>
      <c r="B76" s="9" t="s">
        <v>156</v>
      </c>
      <c r="C76" s="9"/>
      <c r="D76" s="10" t="s">
        <v>35</v>
      </c>
      <c r="E76" s="32">
        <v>50.8</v>
      </c>
      <c r="F76" s="32">
        <v>105.9</v>
      </c>
      <c r="G76" s="32">
        <v>72.400000000000006</v>
      </c>
      <c r="H76" s="32">
        <v>2.1</v>
      </c>
      <c r="I76" s="32"/>
      <c r="J76" s="33">
        <v>3300</v>
      </c>
      <c r="K76" s="19">
        <v>30</v>
      </c>
      <c r="L76" s="19"/>
      <c r="M76" s="19"/>
      <c r="N76" s="19"/>
      <c r="O76" s="19"/>
    </row>
    <row r="77" spans="1:15" x14ac:dyDescent="0.25">
      <c r="A77" s="9">
        <v>2010</v>
      </c>
      <c r="B77" s="9" t="s">
        <v>157</v>
      </c>
      <c r="C77" s="9"/>
      <c r="D77" s="10" t="s">
        <v>44</v>
      </c>
      <c r="E77" s="32">
        <v>51</v>
      </c>
      <c r="F77" s="32"/>
      <c r="G77" s="32">
        <v>69</v>
      </c>
      <c r="H77" s="32">
        <v>2.0499999999999998</v>
      </c>
      <c r="I77" s="32"/>
      <c r="J77" s="33">
        <v>3350</v>
      </c>
      <c r="K77" s="19">
        <v>32</v>
      </c>
      <c r="L77" s="19"/>
      <c r="M77" s="19"/>
      <c r="N77" s="19"/>
      <c r="O77" s="19"/>
    </row>
    <row r="78" spans="1:15" x14ac:dyDescent="0.25">
      <c r="A78" s="9">
        <v>2010</v>
      </c>
      <c r="B78" s="9" t="s">
        <v>158</v>
      </c>
      <c r="C78" s="9"/>
      <c r="D78" s="10" t="s">
        <v>36</v>
      </c>
      <c r="E78" s="32">
        <v>49.6</v>
      </c>
      <c r="F78" s="32">
        <v>111.2</v>
      </c>
      <c r="G78" s="32">
        <v>64.2</v>
      </c>
      <c r="H78" s="32">
        <v>1.94</v>
      </c>
      <c r="I78" s="32"/>
      <c r="J78" s="33">
        <v>2800</v>
      </c>
      <c r="K78" s="19">
        <v>33</v>
      </c>
      <c r="L78" s="19"/>
      <c r="M78" s="19"/>
      <c r="N78" s="19"/>
      <c r="O78" s="19"/>
    </row>
    <row r="79" spans="1:15" x14ac:dyDescent="0.25">
      <c r="A79" s="9">
        <v>2010</v>
      </c>
      <c r="B79" s="9" t="s">
        <v>159</v>
      </c>
      <c r="C79" s="9"/>
      <c r="D79" s="10" t="s">
        <v>37</v>
      </c>
      <c r="E79" s="32">
        <v>48.6</v>
      </c>
      <c r="F79" s="32"/>
      <c r="G79" s="32">
        <v>68</v>
      </c>
      <c r="H79" s="32">
        <v>2</v>
      </c>
      <c r="I79" s="32"/>
      <c r="J79" s="33"/>
      <c r="K79" s="19">
        <v>34</v>
      </c>
      <c r="L79" s="19"/>
      <c r="M79" s="19"/>
      <c r="N79" s="19"/>
      <c r="O79" s="19"/>
    </row>
    <row r="80" spans="1:15" x14ac:dyDescent="0.25">
      <c r="A80" s="11">
        <v>2011</v>
      </c>
      <c r="B80" s="11"/>
      <c r="C80" s="11"/>
      <c r="D80" s="11" t="str">
        <f>"Bird" &amp; K80 &amp; "." &amp; "GPS" &amp; L80 &amp; "2011"</f>
        <v>Bird70.GPS12011</v>
      </c>
      <c r="E80" s="34">
        <v>495</v>
      </c>
      <c r="F80" s="34">
        <v>114</v>
      </c>
      <c r="G80" s="34">
        <v>65.599999999999994</v>
      </c>
      <c r="H80" s="34">
        <v>2</v>
      </c>
      <c r="I80" s="34"/>
      <c r="J80" s="34">
        <f>3100-50</f>
        <v>3050</v>
      </c>
      <c r="K80" s="11">
        <v>70</v>
      </c>
      <c r="L80" s="11">
        <v>1</v>
      </c>
      <c r="M80" s="11"/>
      <c r="N80" s="11"/>
      <c r="O80" s="11"/>
    </row>
    <row r="81" spans="1:15" x14ac:dyDescent="0.25">
      <c r="A81" s="11">
        <v>2011</v>
      </c>
      <c r="B81" s="11"/>
      <c r="C81" s="11"/>
      <c r="D81" s="11" t="str">
        <f t="shared" ref="D81:D102" si="0">"Bird" &amp; K81 &amp; "." &amp; "GPS" &amp; L81 &amp; "2011"</f>
        <v>Bird71.GPS22011</v>
      </c>
      <c r="E81" s="34">
        <v>505</v>
      </c>
      <c r="F81" s="34">
        <v>96</v>
      </c>
      <c r="G81" s="34">
        <v>62.6</v>
      </c>
      <c r="H81" s="34">
        <v>1.98</v>
      </c>
      <c r="I81" s="34"/>
      <c r="J81" s="34">
        <f>3075-50</f>
        <v>3025</v>
      </c>
      <c r="K81" s="11">
        <v>71</v>
      </c>
      <c r="L81" s="11">
        <v>2</v>
      </c>
      <c r="M81" s="11"/>
      <c r="N81" s="11"/>
      <c r="O81" s="11"/>
    </row>
    <row r="82" spans="1:15" x14ac:dyDescent="0.25">
      <c r="A82" s="11">
        <v>2011</v>
      </c>
      <c r="B82" s="11"/>
      <c r="C82" s="11"/>
      <c r="D82" s="11" t="str">
        <f t="shared" si="0"/>
        <v>Bird72.GPS32011</v>
      </c>
      <c r="E82" s="34">
        <v>485</v>
      </c>
      <c r="F82" s="34">
        <v>95</v>
      </c>
      <c r="G82" s="34">
        <v>63.2</v>
      </c>
      <c r="H82" s="34">
        <v>1.9</v>
      </c>
      <c r="I82" s="34"/>
      <c r="J82" s="34">
        <f>3000-50</f>
        <v>2950</v>
      </c>
      <c r="K82" s="11">
        <v>72</v>
      </c>
      <c r="L82" s="11">
        <v>3</v>
      </c>
      <c r="M82" s="11"/>
      <c r="N82" s="11"/>
      <c r="O82" s="11"/>
    </row>
    <row r="83" spans="1:15" x14ac:dyDescent="0.25">
      <c r="A83" s="11">
        <v>2011</v>
      </c>
      <c r="B83" s="11"/>
      <c r="C83" s="11"/>
      <c r="D83" s="11" t="str">
        <f t="shared" si="0"/>
        <v>Bird73.GPS42011</v>
      </c>
      <c r="E83" s="34">
        <v>496</v>
      </c>
      <c r="F83" s="34">
        <v>98.6</v>
      </c>
      <c r="G83" s="34">
        <v>66</v>
      </c>
      <c r="H83" s="34">
        <v>1.7</v>
      </c>
      <c r="I83" s="34"/>
      <c r="J83" s="34">
        <f>3400-50</f>
        <v>3350</v>
      </c>
      <c r="K83" s="11">
        <v>73</v>
      </c>
      <c r="L83" s="11">
        <v>4</v>
      </c>
      <c r="M83" s="11"/>
      <c r="N83" s="11"/>
      <c r="O83" s="11"/>
    </row>
    <row r="84" spans="1:15" x14ac:dyDescent="0.25">
      <c r="A84" s="11">
        <v>2011</v>
      </c>
      <c r="B84" s="11"/>
      <c r="C84" s="11"/>
      <c r="D84" s="11" t="str">
        <f t="shared" si="0"/>
        <v>Bird74.GPS52011</v>
      </c>
      <c r="E84" s="34">
        <v>505</v>
      </c>
      <c r="F84" s="34">
        <v>97.9</v>
      </c>
      <c r="G84" s="34">
        <v>63.5</v>
      </c>
      <c r="H84" s="34">
        <v>1.94</v>
      </c>
      <c r="I84" s="34"/>
      <c r="J84" s="34">
        <f>3050-50</f>
        <v>3000</v>
      </c>
      <c r="K84" s="11">
        <v>74</v>
      </c>
      <c r="L84" s="11">
        <v>5</v>
      </c>
      <c r="M84" s="11"/>
      <c r="N84" s="11"/>
      <c r="O84" s="11"/>
    </row>
    <row r="85" spans="1:15" x14ac:dyDescent="0.25">
      <c r="A85" s="11">
        <v>2011</v>
      </c>
      <c r="B85" s="11" t="s">
        <v>107</v>
      </c>
      <c r="C85" s="11"/>
      <c r="D85" s="11" t="str">
        <f t="shared" si="0"/>
        <v>Bird75.GPS72011</v>
      </c>
      <c r="E85" s="34">
        <v>486</v>
      </c>
      <c r="F85" s="34">
        <v>94</v>
      </c>
      <c r="G85" s="34">
        <v>64.599999999999994</v>
      </c>
      <c r="H85" s="34">
        <v>1.99</v>
      </c>
      <c r="I85" s="34"/>
      <c r="J85" s="34">
        <f>2900-50</f>
        <v>2850</v>
      </c>
      <c r="K85" s="11">
        <v>75</v>
      </c>
      <c r="L85" s="11">
        <v>7</v>
      </c>
      <c r="M85" s="11"/>
      <c r="N85" s="11"/>
      <c r="O85" s="11"/>
    </row>
    <row r="86" spans="1:15" x14ac:dyDescent="0.25">
      <c r="A86" s="11">
        <v>2011</v>
      </c>
      <c r="B86" s="11"/>
      <c r="C86" s="11"/>
      <c r="D86" s="11" t="str">
        <f t="shared" si="0"/>
        <v>Bird77.GPS32011</v>
      </c>
      <c r="E86" s="34">
        <v>490</v>
      </c>
      <c r="F86" s="34">
        <v>96</v>
      </c>
      <c r="G86" s="34">
        <v>69</v>
      </c>
      <c r="H86" s="34">
        <v>1.8</v>
      </c>
      <c r="I86" s="34"/>
      <c r="J86" s="34">
        <f>3000-50</f>
        <v>2950</v>
      </c>
      <c r="K86" s="11">
        <v>77</v>
      </c>
      <c r="L86" s="11">
        <v>3</v>
      </c>
      <c r="M86" s="11"/>
      <c r="N86" s="11"/>
      <c r="O86" s="11"/>
    </row>
    <row r="87" spans="1:15" x14ac:dyDescent="0.25">
      <c r="A87" s="11">
        <v>2011</v>
      </c>
      <c r="B87" s="11"/>
      <c r="C87" s="11"/>
      <c r="D87" s="11" t="str">
        <f t="shared" si="0"/>
        <v>Bird78.GPS92011</v>
      </c>
      <c r="E87" s="34">
        <v>498</v>
      </c>
      <c r="F87" s="34">
        <v>94.3</v>
      </c>
      <c r="G87" s="34">
        <v>63.8</v>
      </c>
      <c r="H87" s="34">
        <f>2.03</f>
        <v>2.0299999999999998</v>
      </c>
      <c r="I87" s="34"/>
      <c r="J87" s="34">
        <f>2800-50</f>
        <v>2750</v>
      </c>
      <c r="K87" s="11">
        <v>78</v>
      </c>
      <c r="L87" s="11">
        <v>9</v>
      </c>
      <c r="M87" s="11"/>
      <c r="N87" s="11"/>
      <c r="O87" s="11"/>
    </row>
    <row r="88" spans="1:15" x14ac:dyDescent="0.25">
      <c r="A88" s="11">
        <v>2011</v>
      </c>
      <c r="B88" s="11"/>
      <c r="C88" s="11"/>
      <c r="D88" s="11" t="str">
        <f t="shared" si="0"/>
        <v>Bird79.GPS12011</v>
      </c>
      <c r="E88" s="34">
        <v>497</v>
      </c>
      <c r="F88" s="34">
        <v>99.5</v>
      </c>
      <c r="G88" s="34">
        <v>64.2</v>
      </c>
      <c r="H88" s="34">
        <v>1.83</v>
      </c>
      <c r="I88" s="34"/>
      <c r="J88" s="34">
        <f>2800-50</f>
        <v>2750</v>
      </c>
      <c r="K88" s="11">
        <v>79</v>
      </c>
      <c r="L88" s="11">
        <v>1</v>
      </c>
      <c r="M88" s="11"/>
      <c r="N88" s="11"/>
      <c r="O88" s="11"/>
    </row>
    <row r="89" spans="1:15" x14ac:dyDescent="0.25">
      <c r="A89" s="11">
        <v>2011</v>
      </c>
      <c r="B89" s="11"/>
      <c r="C89" s="11"/>
      <c r="D89" s="11" t="str">
        <f t="shared" si="0"/>
        <v>Bird80.GPS42011</v>
      </c>
      <c r="E89" s="34">
        <v>486</v>
      </c>
      <c r="F89" s="34">
        <v>95</v>
      </c>
      <c r="G89" s="34">
        <v>64</v>
      </c>
      <c r="H89" s="34">
        <v>1.82</v>
      </c>
      <c r="I89" s="34"/>
      <c r="J89" s="34">
        <f>3150-50</f>
        <v>3100</v>
      </c>
      <c r="K89" s="11">
        <v>80</v>
      </c>
      <c r="L89" s="11">
        <v>4</v>
      </c>
      <c r="M89" s="11"/>
      <c r="N89" s="11"/>
      <c r="O89" s="11"/>
    </row>
    <row r="90" spans="1:15" x14ac:dyDescent="0.25">
      <c r="A90" s="11">
        <v>2011</v>
      </c>
      <c r="B90" s="11" t="s">
        <v>108</v>
      </c>
      <c r="C90" s="11"/>
      <c r="D90" s="11" t="str">
        <f t="shared" si="0"/>
        <v>Bird81.GPS12011</v>
      </c>
      <c r="E90" s="34">
        <v>509</v>
      </c>
      <c r="F90" s="34">
        <v>100.6</v>
      </c>
      <c r="G90" s="34">
        <v>67.8</v>
      </c>
      <c r="H90" s="34">
        <v>1.93</v>
      </c>
      <c r="I90" s="34"/>
      <c r="J90" s="34">
        <f>2875-50</f>
        <v>2825</v>
      </c>
      <c r="K90" s="11">
        <v>81</v>
      </c>
      <c r="L90" s="11">
        <v>1</v>
      </c>
      <c r="M90" s="11"/>
      <c r="N90" s="11"/>
      <c r="O90" s="11"/>
    </row>
    <row r="91" spans="1:15" x14ac:dyDescent="0.25">
      <c r="A91" s="11">
        <v>2011</v>
      </c>
      <c r="B91" s="11"/>
      <c r="C91" s="11"/>
      <c r="D91" s="11" t="str">
        <f t="shared" si="0"/>
        <v>Bird82.GPS32011</v>
      </c>
      <c r="E91" s="34">
        <v>496</v>
      </c>
      <c r="F91" s="34">
        <v>98.4</v>
      </c>
      <c r="G91" s="34">
        <v>66.8</v>
      </c>
      <c r="H91" s="34">
        <v>1.95</v>
      </c>
      <c r="I91" s="34"/>
      <c r="J91" s="34">
        <f>2800-50</f>
        <v>2750</v>
      </c>
      <c r="K91" s="11">
        <v>82</v>
      </c>
      <c r="L91" s="11">
        <v>3</v>
      </c>
      <c r="M91" s="11"/>
      <c r="N91" s="11"/>
      <c r="O91" s="11"/>
    </row>
    <row r="92" spans="1:15" x14ac:dyDescent="0.25">
      <c r="A92" s="11">
        <v>2011</v>
      </c>
      <c r="B92" s="11"/>
      <c r="C92" s="11"/>
      <c r="D92" s="11" t="str">
        <f t="shared" si="0"/>
        <v>Bird83.GPS52011</v>
      </c>
      <c r="E92" s="34">
        <v>502</v>
      </c>
      <c r="F92" s="34">
        <v>98.5</v>
      </c>
      <c r="G92" s="34">
        <v>66.2</v>
      </c>
      <c r="H92" s="34">
        <v>1.91</v>
      </c>
      <c r="I92" s="34"/>
      <c r="J92" s="34">
        <f>2700-50</f>
        <v>2650</v>
      </c>
      <c r="K92" s="11">
        <v>83</v>
      </c>
      <c r="L92" s="11">
        <v>5</v>
      </c>
      <c r="M92" s="11"/>
      <c r="N92" s="11"/>
      <c r="O92" s="11"/>
    </row>
    <row r="93" spans="1:15" x14ac:dyDescent="0.25">
      <c r="A93" s="11">
        <v>2011</v>
      </c>
      <c r="B93" s="11"/>
      <c r="C93" s="11"/>
      <c r="D93" s="11" t="str">
        <f t="shared" si="0"/>
        <v>Bird84.GPS82011</v>
      </c>
      <c r="E93" s="34"/>
      <c r="F93" s="34"/>
      <c r="G93" s="34"/>
      <c r="H93" s="34"/>
      <c r="I93" s="34"/>
      <c r="J93" s="34">
        <f>2900-50</f>
        <v>2850</v>
      </c>
      <c r="K93" s="11">
        <v>84</v>
      </c>
      <c r="L93" s="11">
        <v>8</v>
      </c>
      <c r="M93" s="11"/>
      <c r="N93" s="11"/>
      <c r="O93" s="11"/>
    </row>
    <row r="94" spans="1:15" x14ac:dyDescent="0.25">
      <c r="A94" s="11">
        <v>2011</v>
      </c>
      <c r="B94" s="11"/>
      <c r="C94" s="11"/>
      <c r="D94" s="11" t="str">
        <f t="shared" si="0"/>
        <v>Bird85.GPS12011</v>
      </c>
      <c r="E94" s="34">
        <v>485</v>
      </c>
      <c r="F94" s="34">
        <v>100.4</v>
      </c>
      <c r="G94" s="34">
        <v>71.900000000000006</v>
      </c>
      <c r="H94" s="34">
        <v>2.02</v>
      </c>
      <c r="I94" s="34"/>
      <c r="J94" s="34">
        <f>2950-50</f>
        <v>2900</v>
      </c>
      <c r="K94" s="11">
        <v>85</v>
      </c>
      <c r="L94" s="11">
        <v>1</v>
      </c>
      <c r="M94" s="11"/>
      <c r="N94" s="11"/>
      <c r="O94" s="11"/>
    </row>
    <row r="95" spans="1:15" x14ac:dyDescent="0.25">
      <c r="A95" s="11">
        <v>2011</v>
      </c>
      <c r="B95" s="11"/>
      <c r="C95" s="11"/>
      <c r="D95" s="11" t="str">
        <f t="shared" ref="D95" si="1">"Bird" &amp; K95 &amp; "." &amp; "GPS" &amp; L95 &amp; "2011"</f>
        <v>Bird86.GPS3a2011</v>
      </c>
      <c r="E95" s="34">
        <v>489</v>
      </c>
      <c r="F95" s="34">
        <v>97.5</v>
      </c>
      <c r="G95" s="34">
        <v>63.5</v>
      </c>
      <c r="H95" s="34">
        <v>1.87</v>
      </c>
      <c r="I95" s="34"/>
      <c r="J95" s="34">
        <f>2800-50</f>
        <v>2750</v>
      </c>
      <c r="K95" s="11">
        <v>86</v>
      </c>
      <c r="L95" s="11" t="s">
        <v>200</v>
      </c>
      <c r="M95" s="11"/>
      <c r="N95" s="11"/>
      <c r="O95" s="11"/>
    </row>
    <row r="96" spans="1:15" x14ac:dyDescent="0.25">
      <c r="A96" s="11">
        <v>2011</v>
      </c>
      <c r="B96" s="11"/>
      <c r="C96" s="11"/>
      <c r="D96" s="11" t="str">
        <f t="shared" si="0"/>
        <v>Bird86.GPS3b2011</v>
      </c>
      <c r="E96" s="34">
        <v>489</v>
      </c>
      <c r="F96" s="34">
        <v>97.5</v>
      </c>
      <c r="G96" s="34">
        <v>63.5</v>
      </c>
      <c r="H96" s="34">
        <v>1.87</v>
      </c>
      <c r="I96" s="34"/>
      <c r="J96" s="34">
        <f>2800-50</f>
        <v>2750</v>
      </c>
      <c r="K96" s="11">
        <v>86</v>
      </c>
      <c r="L96" s="11" t="s">
        <v>56</v>
      </c>
      <c r="M96" s="11"/>
      <c r="N96" s="11"/>
      <c r="O96" s="11"/>
    </row>
    <row r="97" spans="1:15" x14ac:dyDescent="0.25">
      <c r="A97" s="11">
        <v>2011</v>
      </c>
      <c r="B97" s="11"/>
      <c r="C97" s="11"/>
      <c r="D97" s="11" t="str">
        <f t="shared" si="0"/>
        <v>Bird87.GPS42011</v>
      </c>
      <c r="E97" s="34">
        <v>480</v>
      </c>
      <c r="F97" s="34">
        <v>102</v>
      </c>
      <c r="G97" s="34">
        <v>61.8</v>
      </c>
      <c r="H97" s="34">
        <v>1.95</v>
      </c>
      <c r="I97" s="34"/>
      <c r="J97" s="34">
        <f>3050-50</f>
        <v>3000</v>
      </c>
      <c r="K97" s="11">
        <v>87</v>
      </c>
      <c r="L97" s="11">
        <v>4</v>
      </c>
      <c r="M97" s="11"/>
      <c r="N97" s="11"/>
      <c r="O97" s="11"/>
    </row>
    <row r="98" spans="1:15" x14ac:dyDescent="0.25">
      <c r="A98" s="11">
        <v>2011</v>
      </c>
      <c r="B98" s="11"/>
      <c r="C98" s="11"/>
      <c r="D98" s="11" t="str">
        <f t="shared" si="0"/>
        <v>Bird88.GPS52011</v>
      </c>
      <c r="E98" s="34">
        <v>492</v>
      </c>
      <c r="F98" s="34">
        <v>94.8</v>
      </c>
      <c r="G98" s="34">
        <v>63.2</v>
      </c>
      <c r="H98" s="34">
        <v>1.76</v>
      </c>
      <c r="I98" s="34"/>
      <c r="J98" s="34">
        <f>(2700-50)</f>
        <v>2650</v>
      </c>
      <c r="K98" s="11">
        <v>88</v>
      </c>
      <c r="L98" s="11">
        <v>5</v>
      </c>
      <c r="M98" s="11"/>
      <c r="N98" s="11"/>
      <c r="O98" s="11"/>
    </row>
    <row r="99" spans="1:15" x14ac:dyDescent="0.25">
      <c r="A99" s="11">
        <v>2011</v>
      </c>
      <c r="B99" s="11"/>
      <c r="C99" s="11"/>
      <c r="D99" s="11" t="str">
        <f t="shared" si="0"/>
        <v>Bird89.GPS1a2011</v>
      </c>
      <c r="E99" s="34">
        <v>487</v>
      </c>
      <c r="F99" s="34">
        <v>97.7</v>
      </c>
      <c r="G99" s="34">
        <v>70.7</v>
      </c>
      <c r="H99" s="34">
        <v>1.92</v>
      </c>
      <c r="I99" s="34"/>
      <c r="J99" s="34">
        <f>(2750-50)</f>
        <v>2700</v>
      </c>
      <c r="K99" s="11">
        <v>89</v>
      </c>
      <c r="L99" s="11" t="s">
        <v>201</v>
      </c>
      <c r="M99" s="11"/>
      <c r="N99" s="11"/>
      <c r="O99" s="11"/>
    </row>
    <row r="100" spans="1:15" x14ac:dyDescent="0.25">
      <c r="A100" s="11">
        <v>2011</v>
      </c>
      <c r="B100" s="11"/>
      <c r="C100" s="11"/>
      <c r="D100" s="11" t="str">
        <f t="shared" ref="D100" si="2">"Bird" &amp; K100 &amp; "." &amp; "GPS" &amp; L100 &amp; "2011"</f>
        <v>Bird89.GPS1b2011</v>
      </c>
      <c r="E100" s="34">
        <v>487</v>
      </c>
      <c r="F100" s="34">
        <v>97.7</v>
      </c>
      <c r="G100" s="34">
        <v>70.7</v>
      </c>
      <c r="H100" s="34">
        <v>1.92</v>
      </c>
      <c r="I100" s="34"/>
      <c r="J100" s="34">
        <f>(2750-50)</f>
        <v>2700</v>
      </c>
      <c r="K100" s="11">
        <v>89</v>
      </c>
      <c r="L100" s="11" t="s">
        <v>55</v>
      </c>
      <c r="M100" s="11"/>
      <c r="N100" s="11"/>
      <c r="O100" s="11"/>
    </row>
    <row r="101" spans="1:15" x14ac:dyDescent="0.25">
      <c r="A101" s="11">
        <v>2011</v>
      </c>
      <c r="B101" s="11"/>
      <c r="C101" s="11"/>
      <c r="D101" s="11" t="str">
        <f t="shared" si="0"/>
        <v>Bird90.GPS82011</v>
      </c>
      <c r="E101" s="34">
        <v>495</v>
      </c>
      <c r="F101" s="34">
        <v>95.4</v>
      </c>
      <c r="G101" s="34">
        <v>70.3</v>
      </c>
      <c r="H101" s="34">
        <v>1.75</v>
      </c>
      <c r="I101" s="34"/>
      <c r="J101" s="34">
        <f>(3050-50)</f>
        <v>3000</v>
      </c>
      <c r="K101" s="11">
        <v>90</v>
      </c>
      <c r="L101" s="11">
        <v>8</v>
      </c>
      <c r="M101" s="11"/>
      <c r="N101" s="11"/>
      <c r="O101" s="11"/>
    </row>
    <row r="102" spans="1:15" x14ac:dyDescent="0.25">
      <c r="A102" s="11">
        <v>2011</v>
      </c>
      <c r="B102" s="11"/>
      <c r="C102" s="11"/>
      <c r="D102" s="11" t="str">
        <f t="shared" si="0"/>
        <v>Bird91.GPS52011</v>
      </c>
      <c r="E102" s="34">
        <v>485</v>
      </c>
      <c r="F102" s="34">
        <v>97.2</v>
      </c>
      <c r="G102" s="34">
        <v>65</v>
      </c>
      <c r="H102" s="34">
        <v>1.74</v>
      </c>
      <c r="I102" s="34"/>
      <c r="J102" s="34">
        <f>(3200-50)</f>
        <v>3150</v>
      </c>
      <c r="K102" s="11">
        <v>91</v>
      </c>
      <c r="L102" s="11">
        <v>5</v>
      </c>
      <c r="M102" s="11"/>
      <c r="N102" s="11"/>
      <c r="O102" s="11"/>
    </row>
    <row r="103" spans="1:15" x14ac:dyDescent="0.25">
      <c r="A103" s="12">
        <v>2012</v>
      </c>
      <c r="B103" s="12"/>
      <c r="C103" s="12"/>
      <c r="D103" s="12" t="str">
        <f>"Bird" &amp; K103 &amp; "." &amp; "GPS" &amp; L103 &amp; "2012"</f>
        <v>Bird2.GPS32012</v>
      </c>
      <c r="E103" s="35">
        <v>98.6</v>
      </c>
      <c r="F103" s="35">
        <v>493</v>
      </c>
      <c r="G103" s="35">
        <v>72.5</v>
      </c>
      <c r="H103" s="35">
        <v>1.76</v>
      </c>
      <c r="I103" s="35"/>
      <c r="J103" s="35">
        <f>3000-50</f>
        <v>2950</v>
      </c>
      <c r="K103" s="12">
        <v>2</v>
      </c>
      <c r="L103" s="12">
        <v>3</v>
      </c>
      <c r="M103" s="12"/>
      <c r="N103" s="12"/>
      <c r="O103" s="12"/>
    </row>
    <row r="104" spans="1:15" x14ac:dyDescent="0.25">
      <c r="A104" s="12">
        <v>2012</v>
      </c>
      <c r="B104" s="12"/>
      <c r="C104" s="12"/>
      <c r="D104" s="12" t="str">
        <f t="shared" ref="D104:D125" si="3">"Bird" &amp; K104 &amp; "." &amp; "GPS" &amp; L104 &amp; "2012"</f>
        <v>Bird3.GPS12012</v>
      </c>
      <c r="E104" s="35">
        <v>95.7</v>
      </c>
      <c r="F104" s="35">
        <v>500</v>
      </c>
      <c r="G104" s="35">
        <v>71</v>
      </c>
      <c r="H104" s="35">
        <v>1.71</v>
      </c>
      <c r="I104" s="35"/>
      <c r="J104" s="35">
        <f>2650-50</f>
        <v>2600</v>
      </c>
      <c r="K104" s="12">
        <v>3</v>
      </c>
      <c r="L104" s="12">
        <v>1</v>
      </c>
      <c r="M104" s="12"/>
      <c r="N104" s="12"/>
      <c r="O104" s="12"/>
    </row>
    <row r="105" spans="1:15" x14ac:dyDescent="0.25">
      <c r="A105" s="12">
        <v>2012</v>
      </c>
      <c r="B105" s="12"/>
      <c r="C105" s="12"/>
      <c r="D105" s="12" t="str">
        <f t="shared" si="3"/>
        <v>Bird5.GPS12012</v>
      </c>
      <c r="E105" s="35">
        <v>99.7</v>
      </c>
      <c r="F105" s="35">
        <v>478</v>
      </c>
      <c r="G105" s="35">
        <v>69.400000000000006</v>
      </c>
      <c r="H105" s="35">
        <v>1.87</v>
      </c>
      <c r="I105" s="35" t="s">
        <v>15</v>
      </c>
      <c r="J105" s="35">
        <f>2850-50</f>
        <v>2800</v>
      </c>
      <c r="K105" s="12">
        <v>5</v>
      </c>
      <c r="L105" s="12">
        <v>1</v>
      </c>
      <c r="M105" s="12"/>
      <c r="N105" s="12"/>
      <c r="O105" s="12"/>
    </row>
    <row r="106" spans="1:15" x14ac:dyDescent="0.25">
      <c r="A106" s="12">
        <v>2012</v>
      </c>
      <c r="B106" s="12"/>
      <c r="C106" s="12"/>
      <c r="D106" s="12" t="str">
        <f t="shared" si="3"/>
        <v>Bird6.GPS142012</v>
      </c>
      <c r="E106" s="35">
        <v>98.7</v>
      </c>
      <c r="F106" s="35">
        <v>490</v>
      </c>
      <c r="G106" s="35">
        <v>69.400000000000006</v>
      </c>
      <c r="H106" s="35">
        <v>2.0699999999999998</v>
      </c>
      <c r="I106" s="35"/>
      <c r="J106" s="35">
        <f>3350-50</f>
        <v>3300</v>
      </c>
      <c r="K106" s="12">
        <v>6</v>
      </c>
      <c r="L106" s="12">
        <v>14</v>
      </c>
      <c r="M106" s="12"/>
      <c r="N106" s="12"/>
      <c r="O106" s="12"/>
    </row>
    <row r="107" spans="1:15" x14ac:dyDescent="0.25">
      <c r="A107" s="12">
        <v>2012</v>
      </c>
      <c r="B107" s="12"/>
      <c r="C107" s="12"/>
      <c r="D107" s="12" t="str">
        <f t="shared" si="3"/>
        <v>Bird7.GPS82012</v>
      </c>
      <c r="E107" s="35">
        <v>99.7</v>
      </c>
      <c r="F107" s="35">
        <v>473</v>
      </c>
      <c r="G107" s="35">
        <v>66.400000000000006</v>
      </c>
      <c r="H107" s="35">
        <v>2</v>
      </c>
      <c r="I107" s="35" t="s">
        <v>14</v>
      </c>
      <c r="J107" s="35">
        <f>2950-50</f>
        <v>2900</v>
      </c>
      <c r="K107" s="12">
        <v>7</v>
      </c>
      <c r="L107" s="12">
        <v>8</v>
      </c>
      <c r="M107" s="12"/>
      <c r="N107" s="12"/>
      <c r="O107" s="12"/>
    </row>
    <row r="108" spans="1:15" x14ac:dyDescent="0.25">
      <c r="A108" s="12">
        <v>2012</v>
      </c>
      <c r="B108" s="12"/>
      <c r="C108" s="12"/>
      <c r="D108" s="12" t="str">
        <f t="shared" si="3"/>
        <v>Bird8.GPS32012</v>
      </c>
      <c r="E108" s="35">
        <v>100.5</v>
      </c>
      <c r="F108" s="35">
        <v>497</v>
      </c>
      <c r="G108" s="35">
        <v>71</v>
      </c>
      <c r="H108" s="35">
        <v>1.71</v>
      </c>
      <c r="I108" s="35" t="s">
        <v>14</v>
      </c>
      <c r="J108" s="35">
        <f>3050-50</f>
        <v>3000</v>
      </c>
      <c r="K108" s="12">
        <v>8</v>
      </c>
      <c r="L108" s="12">
        <v>3</v>
      </c>
      <c r="M108" s="12"/>
      <c r="N108" s="12"/>
      <c r="O108" s="12"/>
    </row>
    <row r="109" spans="1:15" x14ac:dyDescent="0.25">
      <c r="A109" s="12">
        <v>2012</v>
      </c>
      <c r="B109" s="12"/>
      <c r="C109" s="12"/>
      <c r="D109" s="12" t="str">
        <f t="shared" si="3"/>
        <v>Bird9.GPS62012</v>
      </c>
      <c r="E109" s="35">
        <v>100.3</v>
      </c>
      <c r="F109" s="35">
        <v>522</v>
      </c>
      <c r="G109" s="35">
        <v>71.400000000000006</v>
      </c>
      <c r="H109" s="35">
        <v>1.88</v>
      </c>
      <c r="I109" s="35"/>
      <c r="J109" s="35"/>
      <c r="K109" s="12">
        <v>9</v>
      </c>
      <c r="L109" s="12">
        <v>6</v>
      </c>
      <c r="M109" s="12"/>
      <c r="N109" s="12"/>
      <c r="O109" s="12"/>
    </row>
    <row r="110" spans="1:15" x14ac:dyDescent="0.25">
      <c r="A110" s="12">
        <v>2012</v>
      </c>
      <c r="B110" s="12"/>
      <c r="C110" s="12"/>
      <c r="D110" s="12" t="str">
        <f t="shared" si="3"/>
        <v>Bird11.GPS82012</v>
      </c>
      <c r="E110" s="35">
        <v>101.5</v>
      </c>
      <c r="F110" s="35">
        <v>478</v>
      </c>
      <c r="G110" s="35">
        <v>71</v>
      </c>
      <c r="H110" s="35">
        <v>2.11</v>
      </c>
      <c r="I110" s="35"/>
      <c r="J110" s="35"/>
      <c r="K110" s="12">
        <v>11</v>
      </c>
      <c r="L110" s="12">
        <v>8</v>
      </c>
      <c r="M110" s="12"/>
      <c r="N110" s="12"/>
      <c r="O110" s="12"/>
    </row>
    <row r="111" spans="1:15" x14ac:dyDescent="0.25">
      <c r="A111" s="12">
        <v>2012</v>
      </c>
      <c r="B111" s="12"/>
      <c r="C111" s="12"/>
      <c r="D111" s="12" t="str">
        <f t="shared" si="3"/>
        <v>Bird12.GPS32012</v>
      </c>
      <c r="E111" s="35">
        <v>103.1</v>
      </c>
      <c r="F111" s="35">
        <v>494</v>
      </c>
      <c r="G111" s="35">
        <v>66</v>
      </c>
      <c r="H111" s="35">
        <v>1.77</v>
      </c>
      <c r="I111" s="35"/>
      <c r="J111" s="35">
        <f>3000-50</f>
        <v>2950</v>
      </c>
      <c r="K111" s="12">
        <v>12</v>
      </c>
      <c r="L111" s="12">
        <v>3</v>
      </c>
      <c r="M111" s="12"/>
      <c r="N111" s="12"/>
      <c r="O111" s="12"/>
    </row>
    <row r="112" spans="1:15" x14ac:dyDescent="0.25">
      <c r="A112" s="12">
        <v>2012</v>
      </c>
      <c r="B112" s="12"/>
      <c r="C112" s="12"/>
      <c r="D112" s="12" t="str">
        <f t="shared" si="3"/>
        <v>Bird14.GPS172012</v>
      </c>
      <c r="E112" s="35">
        <v>95.8</v>
      </c>
      <c r="F112" s="35">
        <v>494</v>
      </c>
      <c r="G112" s="35">
        <v>64.7</v>
      </c>
      <c r="H112" s="35">
        <v>1.67</v>
      </c>
      <c r="I112" s="35" t="s">
        <v>15</v>
      </c>
      <c r="J112" s="35">
        <f>2850-50</f>
        <v>2800</v>
      </c>
      <c r="K112" s="12">
        <v>14</v>
      </c>
      <c r="L112" s="12">
        <v>17</v>
      </c>
      <c r="M112" s="12"/>
      <c r="N112" s="12"/>
      <c r="O112" s="12"/>
    </row>
    <row r="113" spans="1:15" x14ac:dyDescent="0.25">
      <c r="A113" s="12">
        <v>2012</v>
      </c>
      <c r="B113" s="12"/>
      <c r="C113" s="12"/>
      <c r="D113" s="12" t="str">
        <f t="shared" si="3"/>
        <v>Bird15.GPS12012</v>
      </c>
      <c r="E113" s="35">
        <v>96.5</v>
      </c>
      <c r="F113" s="35">
        <v>505</v>
      </c>
      <c r="G113" s="35">
        <v>66.900000000000006</v>
      </c>
      <c r="H113" s="35">
        <v>1.97</v>
      </c>
      <c r="I113" s="35"/>
      <c r="J113" s="35">
        <f>2950-50</f>
        <v>2900</v>
      </c>
      <c r="K113" s="12">
        <v>15</v>
      </c>
      <c r="L113" s="12">
        <v>1</v>
      </c>
      <c r="M113" s="12"/>
      <c r="N113" s="12"/>
      <c r="O113" s="12"/>
    </row>
    <row r="114" spans="1:15" x14ac:dyDescent="0.25">
      <c r="A114" s="12">
        <v>2012</v>
      </c>
      <c r="B114" s="12"/>
      <c r="C114" s="12"/>
      <c r="D114" s="12" t="str">
        <f t="shared" si="3"/>
        <v>Bird16.GPS182012</v>
      </c>
      <c r="E114" s="35">
        <v>100.6</v>
      </c>
      <c r="F114" s="35">
        <v>501</v>
      </c>
      <c r="G114" s="35">
        <v>69.400000000000006</v>
      </c>
      <c r="H114" s="35">
        <v>2.0699999999999998</v>
      </c>
      <c r="I114" s="35" t="s">
        <v>15</v>
      </c>
      <c r="J114" s="35">
        <f>2850-50</f>
        <v>2800</v>
      </c>
      <c r="K114" s="12">
        <v>16</v>
      </c>
      <c r="L114" s="12">
        <v>18</v>
      </c>
      <c r="M114" s="12"/>
      <c r="N114" s="12"/>
      <c r="O114" s="12"/>
    </row>
    <row r="115" spans="1:15" x14ac:dyDescent="0.25">
      <c r="A115" s="12">
        <v>2012</v>
      </c>
      <c r="B115" s="12"/>
      <c r="C115" s="12"/>
      <c r="D115" s="12" t="str">
        <f t="shared" si="3"/>
        <v>Bird18.GPS172012</v>
      </c>
      <c r="E115" s="35">
        <v>109</v>
      </c>
      <c r="F115" s="35">
        <v>503</v>
      </c>
      <c r="G115" s="35">
        <v>72.7</v>
      </c>
      <c r="H115" s="35">
        <v>2.09</v>
      </c>
      <c r="I115" s="35" t="s">
        <v>14</v>
      </c>
      <c r="J115" s="35">
        <f>3400-50</f>
        <v>3350</v>
      </c>
      <c r="K115" s="12">
        <v>18</v>
      </c>
      <c r="L115" s="12">
        <v>17</v>
      </c>
      <c r="M115" s="12"/>
      <c r="N115" s="12"/>
      <c r="O115" s="12"/>
    </row>
    <row r="116" spans="1:15" x14ac:dyDescent="0.25">
      <c r="A116" s="12">
        <v>2012</v>
      </c>
      <c r="B116" s="12"/>
      <c r="C116" s="12"/>
      <c r="D116" s="12" t="str">
        <f t="shared" si="3"/>
        <v>Bird19.GPS12012</v>
      </c>
      <c r="E116" s="35">
        <v>96.4</v>
      </c>
      <c r="F116" s="35">
        <v>491</v>
      </c>
      <c r="G116" s="35">
        <v>65.900000000000006</v>
      </c>
      <c r="H116" s="35">
        <v>1.86</v>
      </c>
      <c r="I116" s="35"/>
      <c r="J116" s="35">
        <f>2900-50</f>
        <v>2850</v>
      </c>
      <c r="K116" s="12">
        <v>19</v>
      </c>
      <c r="L116" s="12">
        <v>1</v>
      </c>
      <c r="M116" s="12"/>
      <c r="N116" s="12"/>
      <c r="O116" s="12"/>
    </row>
    <row r="117" spans="1:15" x14ac:dyDescent="0.25">
      <c r="A117" s="12">
        <v>2012</v>
      </c>
      <c r="B117" s="12"/>
      <c r="C117" s="12"/>
      <c r="D117" s="12" t="str">
        <f t="shared" si="3"/>
        <v>Bird20.GPS182012</v>
      </c>
      <c r="E117" s="35">
        <v>98</v>
      </c>
      <c r="F117" s="35">
        <v>501</v>
      </c>
      <c r="G117" s="35">
        <v>64.8</v>
      </c>
      <c r="H117" s="35">
        <v>1.72</v>
      </c>
      <c r="I117" s="35"/>
      <c r="J117" s="35">
        <f>3000-50</f>
        <v>2950</v>
      </c>
      <c r="K117" s="12">
        <v>20</v>
      </c>
      <c r="L117" s="12">
        <v>18</v>
      </c>
      <c r="M117" s="12"/>
      <c r="N117" s="12"/>
      <c r="O117" s="12"/>
    </row>
    <row r="118" spans="1:15" x14ac:dyDescent="0.25">
      <c r="A118" s="12">
        <v>2012</v>
      </c>
      <c r="B118" s="12"/>
      <c r="C118" s="12"/>
      <c r="D118" s="12" t="str">
        <f t="shared" si="3"/>
        <v>Bird21.GPS202012</v>
      </c>
      <c r="E118" s="35">
        <v>100</v>
      </c>
      <c r="F118" s="35">
        <v>495</v>
      </c>
      <c r="G118" s="35">
        <v>66</v>
      </c>
      <c r="H118" s="35">
        <v>1.8</v>
      </c>
      <c r="I118" s="35" t="s">
        <v>15</v>
      </c>
      <c r="J118" s="35">
        <f>2650-50</f>
        <v>2600</v>
      </c>
      <c r="K118" s="12">
        <v>21</v>
      </c>
      <c r="L118" s="12">
        <v>20</v>
      </c>
      <c r="M118" s="12"/>
      <c r="N118" s="12"/>
      <c r="O118" s="12"/>
    </row>
    <row r="119" spans="1:15" x14ac:dyDescent="0.25">
      <c r="A119" s="12">
        <v>2012</v>
      </c>
      <c r="B119" s="12"/>
      <c r="C119" s="12"/>
      <c r="D119" s="12" t="str">
        <f t="shared" si="3"/>
        <v>Bird22.GPS172012</v>
      </c>
      <c r="E119" s="35">
        <v>99.2</v>
      </c>
      <c r="F119" s="35">
        <v>474</v>
      </c>
      <c r="G119" s="35">
        <v>66</v>
      </c>
      <c r="H119" s="35">
        <v>1.61</v>
      </c>
      <c r="I119" s="35"/>
      <c r="J119" s="35">
        <f>3000-50</f>
        <v>2950</v>
      </c>
      <c r="K119" s="12">
        <v>22</v>
      </c>
      <c r="L119" s="12">
        <v>17</v>
      </c>
      <c r="M119" s="12"/>
      <c r="N119" s="12"/>
      <c r="O119" s="12"/>
    </row>
    <row r="120" spans="1:15" x14ac:dyDescent="0.25">
      <c r="A120" s="12">
        <v>2012</v>
      </c>
      <c r="B120" s="12"/>
      <c r="C120" s="12"/>
      <c r="D120" s="12" t="str">
        <f t="shared" si="3"/>
        <v>Bird23.GPS192012</v>
      </c>
      <c r="E120" s="35">
        <v>99.5</v>
      </c>
      <c r="F120" s="35">
        <v>488</v>
      </c>
      <c r="G120" s="35">
        <v>63.6</v>
      </c>
      <c r="H120" s="35">
        <v>1.82</v>
      </c>
      <c r="I120" s="35"/>
      <c r="J120" s="35">
        <f>3150-50</f>
        <v>3100</v>
      </c>
      <c r="K120" s="12">
        <v>23</v>
      </c>
      <c r="L120" s="12">
        <v>19</v>
      </c>
      <c r="M120" s="12"/>
      <c r="N120" s="12"/>
      <c r="O120" s="12"/>
    </row>
    <row r="121" spans="1:15" x14ac:dyDescent="0.25">
      <c r="A121" s="12">
        <v>2012</v>
      </c>
      <c r="B121" s="12"/>
      <c r="C121" s="12"/>
      <c r="D121" s="12" t="str">
        <f t="shared" si="3"/>
        <v>Bird24.GPS182012</v>
      </c>
      <c r="E121" s="35">
        <v>95.3</v>
      </c>
      <c r="F121" s="35">
        <v>489</v>
      </c>
      <c r="G121" s="35">
        <v>63.1</v>
      </c>
      <c r="H121" s="35">
        <v>1.94</v>
      </c>
      <c r="I121" s="35"/>
      <c r="J121" s="35"/>
      <c r="K121" s="12">
        <v>24</v>
      </c>
      <c r="L121" s="12">
        <v>18</v>
      </c>
      <c r="M121" s="12"/>
      <c r="N121" s="12"/>
      <c r="O121" s="12"/>
    </row>
    <row r="122" spans="1:15" x14ac:dyDescent="0.25">
      <c r="A122" s="12">
        <v>2012</v>
      </c>
      <c r="B122" s="12"/>
      <c r="C122" s="12"/>
      <c r="D122" s="12" t="str">
        <f t="shared" ref="D122:D123" si="4">"Bird" &amp; K122 &amp; "." &amp; "GPS" &amp; L122 &amp; "2012"</f>
        <v>Bird25.GPS1a2012</v>
      </c>
      <c r="E122" s="35">
        <v>96.7</v>
      </c>
      <c r="F122" s="35">
        <v>510</v>
      </c>
      <c r="G122" s="35">
        <v>69.2</v>
      </c>
      <c r="H122" s="35">
        <v>2.11</v>
      </c>
      <c r="I122" s="35"/>
      <c r="J122" s="35">
        <f>3200-50</f>
        <v>3150</v>
      </c>
      <c r="K122" s="12">
        <v>25</v>
      </c>
      <c r="L122" s="12" t="s">
        <v>201</v>
      </c>
      <c r="M122" s="12"/>
      <c r="N122" s="12"/>
      <c r="O122" s="12"/>
    </row>
    <row r="123" spans="1:15" x14ac:dyDescent="0.25">
      <c r="A123" s="12">
        <v>2012</v>
      </c>
      <c r="B123" s="12"/>
      <c r="C123" s="12"/>
      <c r="D123" s="12" t="str">
        <f t="shared" si="4"/>
        <v>Bird25.GPS1b2012</v>
      </c>
      <c r="E123" s="35">
        <v>96.7</v>
      </c>
      <c r="F123" s="35">
        <v>510</v>
      </c>
      <c r="G123" s="35">
        <v>69.2</v>
      </c>
      <c r="H123" s="35">
        <v>2.11</v>
      </c>
      <c r="I123" s="35"/>
      <c r="J123" s="35">
        <f>3200-50</f>
        <v>3150</v>
      </c>
      <c r="K123" s="12">
        <v>25</v>
      </c>
      <c r="L123" s="12" t="s">
        <v>55</v>
      </c>
      <c r="M123" s="12"/>
      <c r="N123" s="12"/>
      <c r="O123" s="12"/>
    </row>
    <row r="124" spans="1:15" x14ac:dyDescent="0.25">
      <c r="A124" s="12">
        <v>2012</v>
      </c>
      <c r="B124" s="12"/>
      <c r="C124" s="12"/>
      <c r="D124" s="12" t="str">
        <f t="shared" si="3"/>
        <v>Bird26.GPS212012</v>
      </c>
      <c r="E124" s="35">
        <v>93.6</v>
      </c>
      <c r="F124" s="35">
        <v>501</v>
      </c>
      <c r="G124" s="35">
        <v>62.4</v>
      </c>
      <c r="H124" s="35">
        <v>1.7</v>
      </c>
      <c r="I124" s="35"/>
      <c r="J124" s="35">
        <f>2650-50</f>
        <v>2600</v>
      </c>
      <c r="K124" s="12">
        <v>26</v>
      </c>
      <c r="L124" s="12">
        <v>21</v>
      </c>
      <c r="M124" s="12"/>
      <c r="N124" s="12"/>
      <c r="O124" s="12"/>
    </row>
    <row r="125" spans="1:15" x14ac:dyDescent="0.25">
      <c r="A125" s="12">
        <v>2012</v>
      </c>
      <c r="B125" s="12"/>
      <c r="C125" s="12"/>
      <c r="D125" s="12" t="str">
        <f t="shared" si="3"/>
        <v>Bird27.GPS172012</v>
      </c>
      <c r="E125" s="35">
        <v>96.5</v>
      </c>
      <c r="F125" s="35">
        <v>489</v>
      </c>
      <c r="G125" s="35">
        <v>64.900000000000006</v>
      </c>
      <c r="H125" s="35">
        <v>1.69</v>
      </c>
      <c r="I125" s="35"/>
      <c r="J125" s="35">
        <f>2500-50</f>
        <v>2450</v>
      </c>
      <c r="K125" s="12">
        <v>27</v>
      </c>
      <c r="L125" s="12">
        <v>17</v>
      </c>
      <c r="M125" s="12"/>
      <c r="N125" s="12"/>
      <c r="O125" s="12"/>
    </row>
    <row r="126" spans="1:15" x14ac:dyDescent="0.25">
      <c r="A126" s="1">
        <v>2013</v>
      </c>
      <c r="B126" s="1"/>
      <c r="C126" s="1"/>
      <c r="D126" s="13" t="s">
        <v>202</v>
      </c>
      <c r="E126" s="36">
        <v>96.4</v>
      </c>
      <c r="F126" s="36">
        <v>476</v>
      </c>
      <c r="G126" s="36">
        <v>66.400000000000006</v>
      </c>
      <c r="H126" s="36">
        <v>2.0099999999999998</v>
      </c>
      <c r="I126" s="36" t="s">
        <v>14</v>
      </c>
      <c r="J126" s="36">
        <v>2800</v>
      </c>
      <c r="K126" s="1">
        <v>1</v>
      </c>
      <c r="L126" s="1">
        <v>61</v>
      </c>
      <c r="M126" s="1"/>
      <c r="N126" s="1"/>
      <c r="O126" s="1"/>
    </row>
    <row r="127" spans="1:15" x14ac:dyDescent="0.25">
      <c r="A127" s="1">
        <v>2013</v>
      </c>
      <c r="B127" s="1"/>
      <c r="C127" s="1"/>
      <c r="D127" s="13" t="s">
        <v>203</v>
      </c>
      <c r="E127" s="36">
        <v>98.7</v>
      </c>
      <c r="F127" s="36">
        <v>499</v>
      </c>
      <c r="G127" s="36">
        <v>66.599999999999994</v>
      </c>
      <c r="H127" s="36">
        <v>1.73</v>
      </c>
      <c r="I127" s="36"/>
      <c r="J127" s="36">
        <v>3050</v>
      </c>
      <c r="K127" s="1">
        <v>2</v>
      </c>
      <c r="L127" s="1" t="s">
        <v>54</v>
      </c>
      <c r="M127" s="1"/>
      <c r="N127" s="1"/>
      <c r="O127" s="1"/>
    </row>
    <row r="128" spans="1:15" x14ac:dyDescent="0.25">
      <c r="A128" s="1">
        <v>2013</v>
      </c>
      <c r="B128" s="1"/>
      <c r="C128" s="1"/>
      <c r="D128" s="13" t="s">
        <v>204</v>
      </c>
      <c r="E128" s="36">
        <v>97.8</v>
      </c>
      <c r="F128" s="36">
        <v>491</v>
      </c>
      <c r="G128" s="36">
        <v>67.8</v>
      </c>
      <c r="H128" s="36">
        <v>1.96</v>
      </c>
      <c r="I128" s="36"/>
      <c r="J128" s="36">
        <v>2850</v>
      </c>
      <c r="K128" s="1">
        <v>4</v>
      </c>
      <c r="L128" s="1">
        <v>52</v>
      </c>
      <c r="M128" s="1"/>
      <c r="N128" s="1"/>
      <c r="O128" s="1"/>
    </row>
    <row r="129" spans="1:15" x14ac:dyDescent="0.25">
      <c r="A129" s="1">
        <v>2013</v>
      </c>
      <c r="B129" s="1"/>
      <c r="C129" s="1"/>
      <c r="D129" s="13" t="s">
        <v>207</v>
      </c>
      <c r="E129" s="36">
        <v>101</v>
      </c>
      <c r="F129" s="36">
        <v>514</v>
      </c>
      <c r="G129" s="36">
        <v>66.099999999999994</v>
      </c>
      <c r="H129" s="36">
        <v>1.66</v>
      </c>
      <c r="I129" s="36"/>
      <c r="J129" s="36">
        <v>2700</v>
      </c>
      <c r="K129" s="1">
        <v>5</v>
      </c>
      <c r="L129" s="1">
        <v>61</v>
      </c>
      <c r="M129" s="1"/>
      <c r="N129" s="1"/>
      <c r="O129" s="1"/>
    </row>
    <row r="130" spans="1:15" x14ac:dyDescent="0.25">
      <c r="A130" s="1">
        <v>2013</v>
      </c>
      <c r="B130" s="1"/>
      <c r="C130" s="1"/>
      <c r="D130" s="13" t="s">
        <v>205</v>
      </c>
      <c r="E130" s="36">
        <v>99.5</v>
      </c>
      <c r="F130" s="36">
        <v>502</v>
      </c>
      <c r="G130" s="36">
        <v>64</v>
      </c>
      <c r="H130" s="36">
        <v>2.0499999999999998</v>
      </c>
      <c r="I130" s="36"/>
      <c r="J130" s="36">
        <v>3100</v>
      </c>
      <c r="K130" s="1">
        <v>6</v>
      </c>
      <c r="L130" s="1">
        <v>15</v>
      </c>
      <c r="M130" s="1"/>
      <c r="N130" s="1"/>
      <c r="O130" s="1"/>
    </row>
    <row r="131" spans="1:15" x14ac:dyDescent="0.25">
      <c r="A131" s="1">
        <v>2013</v>
      </c>
      <c r="B131" s="1"/>
      <c r="C131" s="1"/>
      <c r="D131" s="13" t="s">
        <v>208</v>
      </c>
      <c r="E131" s="36">
        <v>96.3</v>
      </c>
      <c r="F131" s="36">
        <v>501</v>
      </c>
      <c r="G131" s="36">
        <v>62.9</v>
      </c>
      <c r="H131" s="36">
        <v>1.87</v>
      </c>
      <c r="I131" s="36"/>
      <c r="J131" s="36">
        <v>2850</v>
      </c>
      <c r="K131" s="1">
        <v>7</v>
      </c>
      <c r="L131" s="1">
        <v>59</v>
      </c>
      <c r="M131" s="1"/>
      <c r="N131" s="1"/>
      <c r="O131" s="1"/>
    </row>
    <row r="132" spans="1:15" x14ac:dyDescent="0.25">
      <c r="A132" s="1">
        <v>2013</v>
      </c>
      <c r="B132" s="1"/>
      <c r="C132" s="1"/>
      <c r="D132" s="13" t="s">
        <v>209</v>
      </c>
      <c r="E132" s="36">
        <v>96.1</v>
      </c>
      <c r="F132" s="36">
        <v>483</v>
      </c>
      <c r="G132" s="36">
        <v>61.1</v>
      </c>
      <c r="H132" s="36">
        <v>2.08</v>
      </c>
      <c r="I132" s="36" t="s">
        <v>14</v>
      </c>
      <c r="J132" s="36">
        <v>2900</v>
      </c>
      <c r="K132" s="1">
        <v>8</v>
      </c>
      <c r="L132" s="1">
        <v>57</v>
      </c>
      <c r="M132" s="1"/>
      <c r="N132" s="1"/>
      <c r="O132" s="1"/>
    </row>
    <row r="133" spans="1:15" x14ac:dyDescent="0.25">
      <c r="A133" s="1">
        <v>2013</v>
      </c>
      <c r="B133" s="1"/>
      <c r="C133" s="1"/>
      <c r="D133" s="13" t="s">
        <v>206</v>
      </c>
      <c r="E133" s="36">
        <v>97.7</v>
      </c>
      <c r="F133" s="36">
        <v>490</v>
      </c>
      <c r="G133" s="36">
        <v>63.2</v>
      </c>
      <c r="H133" s="36">
        <v>1.75</v>
      </c>
      <c r="I133" s="36" t="s">
        <v>14</v>
      </c>
      <c r="J133" s="36">
        <v>3050</v>
      </c>
      <c r="K133" s="1">
        <v>10</v>
      </c>
      <c r="L133" s="1">
        <v>52</v>
      </c>
      <c r="M133" s="1"/>
      <c r="N133" s="1"/>
      <c r="O133" s="1"/>
    </row>
    <row r="134" spans="1:15" x14ac:dyDescent="0.25">
      <c r="A134" s="6">
        <v>2014</v>
      </c>
      <c r="B134" s="6" t="s">
        <v>257</v>
      </c>
      <c r="C134" s="6" t="s">
        <v>65</v>
      </c>
      <c r="D134" s="7" t="s">
        <v>243</v>
      </c>
      <c r="E134" s="29">
        <v>102.9</v>
      </c>
      <c r="F134" s="28">
        <v>506</v>
      </c>
      <c r="G134" s="29">
        <v>67.900000000000006</v>
      </c>
      <c r="H134" s="29">
        <v>1.93</v>
      </c>
      <c r="I134" s="29"/>
      <c r="J134" s="28">
        <v>3050</v>
      </c>
      <c r="K134" s="6">
        <v>1</v>
      </c>
      <c r="L134" s="6">
        <v>11</v>
      </c>
      <c r="M134" s="6"/>
      <c r="N134" s="6"/>
      <c r="O134" s="6"/>
    </row>
    <row r="135" spans="1:15" x14ac:dyDescent="0.25">
      <c r="A135" s="6">
        <v>2014</v>
      </c>
      <c r="B135" s="6" t="s">
        <v>258</v>
      </c>
      <c r="C135" s="6" t="s">
        <v>66</v>
      </c>
      <c r="D135" s="7" t="s">
        <v>244</v>
      </c>
      <c r="E135" s="29">
        <v>98.6</v>
      </c>
      <c r="F135" s="28">
        <v>494</v>
      </c>
      <c r="G135" s="29">
        <v>66.7</v>
      </c>
      <c r="H135" s="29">
        <v>1.73</v>
      </c>
      <c r="I135" s="29" t="s">
        <v>14</v>
      </c>
      <c r="J135" s="28">
        <v>2950</v>
      </c>
      <c r="K135" s="6">
        <v>2</v>
      </c>
      <c r="L135" s="6">
        <v>41</v>
      </c>
      <c r="M135" s="6"/>
      <c r="N135" s="6"/>
      <c r="O135" s="6"/>
    </row>
    <row r="136" spans="1:15" x14ac:dyDescent="0.25">
      <c r="A136" s="6">
        <v>2014</v>
      </c>
      <c r="B136" s="6" t="s">
        <v>259</v>
      </c>
      <c r="C136" s="6" t="s">
        <v>67</v>
      </c>
      <c r="D136" s="7" t="s">
        <v>245</v>
      </c>
      <c r="E136" s="29">
        <v>99.9</v>
      </c>
      <c r="F136" s="28">
        <v>499</v>
      </c>
      <c r="G136" s="29">
        <v>64</v>
      </c>
      <c r="H136" s="29">
        <v>1.59</v>
      </c>
      <c r="I136" s="29" t="s">
        <v>15</v>
      </c>
      <c r="J136" s="28">
        <v>2600</v>
      </c>
      <c r="K136" s="6">
        <v>3</v>
      </c>
      <c r="L136" s="6">
        <v>82</v>
      </c>
      <c r="M136" s="6"/>
      <c r="N136" s="6"/>
      <c r="O136" s="6"/>
    </row>
    <row r="137" spans="1:15" x14ac:dyDescent="0.25">
      <c r="A137" s="6">
        <v>2014</v>
      </c>
      <c r="B137" s="6" t="s">
        <v>260</v>
      </c>
      <c r="C137" s="6"/>
      <c r="D137" s="7" t="s">
        <v>246</v>
      </c>
      <c r="E137" s="28">
        <v>94.1</v>
      </c>
      <c r="F137" s="28">
        <v>499</v>
      </c>
      <c r="G137" s="28">
        <v>65.400000000000006</v>
      </c>
      <c r="H137" s="28">
        <v>1.56</v>
      </c>
      <c r="I137" s="29" t="s">
        <v>15</v>
      </c>
      <c r="J137" s="28">
        <v>2600</v>
      </c>
      <c r="K137" s="6">
        <v>4</v>
      </c>
      <c r="L137" s="6">
        <v>67</v>
      </c>
      <c r="M137" s="6"/>
      <c r="N137" s="6"/>
      <c r="O137" s="6"/>
    </row>
    <row r="138" spans="1:15" x14ac:dyDescent="0.25">
      <c r="A138" s="6">
        <v>2014</v>
      </c>
      <c r="B138" s="6" t="s">
        <v>261</v>
      </c>
      <c r="C138" s="6" t="s">
        <v>68</v>
      </c>
      <c r="D138" s="7" t="s">
        <v>247</v>
      </c>
      <c r="E138" s="29">
        <v>97.4</v>
      </c>
      <c r="F138" s="28">
        <v>505</v>
      </c>
      <c r="G138" s="29">
        <v>63</v>
      </c>
      <c r="H138" s="29">
        <v>1.78</v>
      </c>
      <c r="I138" s="29"/>
      <c r="J138" s="28">
        <v>2850</v>
      </c>
      <c r="K138" s="6">
        <v>7</v>
      </c>
      <c r="L138" s="6">
        <v>65</v>
      </c>
      <c r="M138" s="6"/>
      <c r="N138" s="6"/>
      <c r="O138" s="6"/>
    </row>
    <row r="139" spans="1:15" x14ac:dyDescent="0.25">
      <c r="A139" s="6">
        <v>2014</v>
      </c>
      <c r="B139" s="6" t="s">
        <v>262</v>
      </c>
      <c r="C139" s="6"/>
      <c r="D139" s="7" t="s">
        <v>249</v>
      </c>
      <c r="E139" s="28">
        <v>100.5</v>
      </c>
      <c r="F139" s="28">
        <v>502</v>
      </c>
      <c r="G139" s="28">
        <v>65</v>
      </c>
      <c r="H139" s="28">
        <v>1.65</v>
      </c>
      <c r="I139" s="29"/>
      <c r="J139" s="28">
        <v>2950</v>
      </c>
      <c r="K139" s="6">
        <v>8</v>
      </c>
      <c r="L139" s="6">
        <v>74</v>
      </c>
      <c r="M139" s="6"/>
      <c r="N139" s="6"/>
      <c r="O139" s="6"/>
    </row>
    <row r="140" spans="1:15" x14ac:dyDescent="0.25">
      <c r="A140" s="6">
        <v>2014</v>
      </c>
      <c r="B140" s="6" t="s">
        <v>263</v>
      </c>
      <c r="C140" s="6" t="s">
        <v>69</v>
      </c>
      <c r="D140" s="7" t="s">
        <v>250</v>
      </c>
      <c r="E140" s="28">
        <v>96.4</v>
      </c>
      <c r="F140" s="28">
        <v>495</v>
      </c>
      <c r="G140" s="28">
        <v>61.6</v>
      </c>
      <c r="H140" s="28">
        <v>1.73</v>
      </c>
      <c r="I140" s="29" t="s">
        <v>15</v>
      </c>
      <c r="J140" s="28">
        <v>2800</v>
      </c>
      <c r="K140" s="6">
        <v>10</v>
      </c>
      <c r="L140" s="6">
        <v>68</v>
      </c>
      <c r="M140" s="6"/>
      <c r="N140" s="6"/>
      <c r="O140" s="6"/>
    </row>
    <row r="141" spans="1:15" x14ac:dyDescent="0.25">
      <c r="A141" s="6">
        <v>2014</v>
      </c>
      <c r="B141" s="6" t="s">
        <v>264</v>
      </c>
      <c r="C141" s="6"/>
      <c r="D141" s="7" t="s">
        <v>248</v>
      </c>
      <c r="E141" s="28">
        <v>97.2</v>
      </c>
      <c r="F141" s="28">
        <v>501</v>
      </c>
      <c r="G141" s="28">
        <v>64.900000000000006</v>
      </c>
      <c r="H141" s="28">
        <v>1.64</v>
      </c>
      <c r="I141" s="28"/>
      <c r="J141" s="28">
        <v>3000</v>
      </c>
      <c r="K141" s="6">
        <v>12</v>
      </c>
      <c r="L141" s="6" t="s">
        <v>55</v>
      </c>
      <c r="M141" s="6"/>
      <c r="N141" s="6"/>
      <c r="O141" s="6"/>
    </row>
    <row r="142" spans="1:15" x14ac:dyDescent="0.25">
      <c r="A142" s="6">
        <v>2014</v>
      </c>
      <c r="B142" s="6" t="s">
        <v>265</v>
      </c>
      <c r="C142" s="6" t="s">
        <v>70</v>
      </c>
      <c r="D142" s="7" t="s">
        <v>251</v>
      </c>
      <c r="E142" s="28">
        <v>96</v>
      </c>
      <c r="F142" s="28">
        <v>498</v>
      </c>
      <c r="G142" s="28">
        <v>65.5</v>
      </c>
      <c r="H142" s="28">
        <v>1.89</v>
      </c>
      <c r="I142" s="28"/>
      <c r="J142" s="28">
        <v>2700</v>
      </c>
      <c r="K142" s="6">
        <v>13</v>
      </c>
      <c r="L142" s="6">
        <v>37</v>
      </c>
      <c r="M142" s="6"/>
      <c r="N142" s="6"/>
      <c r="O142" s="6"/>
    </row>
    <row r="143" spans="1:15" x14ac:dyDescent="0.25">
      <c r="A143" s="6">
        <v>2014</v>
      </c>
      <c r="B143" s="6" t="s">
        <v>266</v>
      </c>
      <c r="C143" s="6" t="s">
        <v>71</v>
      </c>
      <c r="D143" s="7" t="s">
        <v>252</v>
      </c>
      <c r="E143" s="28">
        <v>105.7</v>
      </c>
      <c r="F143" s="28">
        <v>503</v>
      </c>
      <c r="G143" s="28">
        <v>67.5</v>
      </c>
      <c r="H143" s="28">
        <v>1.7</v>
      </c>
      <c r="I143" s="28"/>
      <c r="J143" s="28">
        <v>3100</v>
      </c>
      <c r="K143" s="6">
        <v>14</v>
      </c>
      <c r="L143" s="6">
        <v>41</v>
      </c>
      <c r="M143" s="6"/>
      <c r="N143" s="6"/>
      <c r="O143" s="6"/>
    </row>
    <row r="144" spans="1:15" x14ac:dyDescent="0.25">
      <c r="A144" s="6">
        <v>2014</v>
      </c>
      <c r="B144" s="6" t="s">
        <v>267</v>
      </c>
      <c r="C144" s="6" t="s">
        <v>72</v>
      </c>
      <c r="D144" s="7" t="s">
        <v>253</v>
      </c>
      <c r="E144" s="28">
        <v>102</v>
      </c>
      <c r="F144" s="28">
        <v>506</v>
      </c>
      <c r="G144" s="28">
        <v>65.099999999999994</v>
      </c>
      <c r="H144" s="28">
        <v>1.62</v>
      </c>
      <c r="I144" s="28"/>
      <c r="J144" s="28">
        <v>3150</v>
      </c>
      <c r="K144" s="6">
        <v>16</v>
      </c>
      <c r="L144" s="6">
        <v>74</v>
      </c>
      <c r="M144" s="6"/>
      <c r="N144" s="6"/>
      <c r="O144" s="6"/>
    </row>
    <row r="145" spans="1:15" x14ac:dyDescent="0.25">
      <c r="A145" s="6">
        <v>2014</v>
      </c>
      <c r="B145" s="6" t="s">
        <v>268</v>
      </c>
      <c r="C145" s="6" t="s">
        <v>73</v>
      </c>
      <c r="D145" s="7" t="s">
        <v>254</v>
      </c>
      <c r="E145" s="28">
        <v>98.7</v>
      </c>
      <c r="F145" s="28">
        <v>496</v>
      </c>
      <c r="G145" s="28">
        <v>65.3</v>
      </c>
      <c r="H145" s="28">
        <v>1.74</v>
      </c>
      <c r="I145" s="28" t="s">
        <v>14</v>
      </c>
      <c r="J145" s="28">
        <v>3050</v>
      </c>
      <c r="K145" s="6">
        <v>17</v>
      </c>
      <c r="L145" s="6">
        <v>61</v>
      </c>
      <c r="M145" s="6"/>
      <c r="N145" s="6"/>
      <c r="O145" s="6"/>
    </row>
    <row r="146" spans="1:15" x14ac:dyDescent="0.25">
      <c r="A146" s="6">
        <v>2014</v>
      </c>
      <c r="B146" s="6" t="s">
        <v>148</v>
      </c>
      <c r="C146" s="6" t="s">
        <v>74</v>
      </c>
      <c r="D146" s="7" t="s">
        <v>255</v>
      </c>
      <c r="E146" s="28">
        <v>97.4</v>
      </c>
      <c r="F146" s="28">
        <v>496</v>
      </c>
      <c r="G146" s="28">
        <v>61</v>
      </c>
      <c r="H146" s="28">
        <v>1.84</v>
      </c>
      <c r="I146" s="28" t="s">
        <v>15</v>
      </c>
      <c r="J146" s="28">
        <v>3050</v>
      </c>
      <c r="K146" s="6">
        <v>18</v>
      </c>
      <c r="L146" s="6">
        <v>67</v>
      </c>
      <c r="M146" s="6"/>
      <c r="N146" s="6"/>
      <c r="O146" s="6"/>
    </row>
    <row r="147" spans="1:15" x14ac:dyDescent="0.25">
      <c r="A147" s="6">
        <v>2014</v>
      </c>
      <c r="B147" s="6" t="s">
        <v>269</v>
      </c>
      <c r="C147" s="6" t="s">
        <v>75</v>
      </c>
      <c r="D147" s="7" t="s">
        <v>256</v>
      </c>
      <c r="E147" s="28">
        <v>96.9</v>
      </c>
      <c r="F147" s="28">
        <v>498</v>
      </c>
      <c r="G147" s="28">
        <v>64</v>
      </c>
      <c r="H147" s="28">
        <v>1.7</v>
      </c>
      <c r="I147" s="28"/>
      <c r="J147" s="28">
        <v>2750</v>
      </c>
      <c r="K147" s="6">
        <v>20</v>
      </c>
      <c r="L147" s="6" t="s">
        <v>55</v>
      </c>
      <c r="M147" s="6"/>
      <c r="N147" s="6"/>
      <c r="O147" s="6"/>
    </row>
    <row r="148" spans="1:15" x14ac:dyDescent="0.25">
      <c r="A148" s="14">
        <v>2015</v>
      </c>
      <c r="B148" s="14" t="s">
        <v>270</v>
      </c>
      <c r="C148" s="14" t="s">
        <v>57</v>
      </c>
      <c r="D148" s="14" t="str">
        <f>"Bird0"&amp;K148&amp;".GPS"&amp;L148&amp;"2015"</f>
        <v>Bird01.GPS752015</v>
      </c>
      <c r="E148" s="15">
        <v>98.2</v>
      </c>
      <c r="F148" s="15">
        <v>478</v>
      </c>
      <c r="G148" s="15">
        <v>65.8</v>
      </c>
      <c r="H148" s="15">
        <v>1.84</v>
      </c>
      <c r="I148" s="15" t="s">
        <v>14</v>
      </c>
      <c r="J148" s="15">
        <v>2850</v>
      </c>
      <c r="K148" s="19">
        <v>1</v>
      </c>
      <c r="L148" s="19">
        <v>75</v>
      </c>
      <c r="M148" s="19"/>
      <c r="N148" s="19"/>
      <c r="O148" s="19"/>
    </row>
    <row r="149" spans="1:15" x14ac:dyDescent="0.25">
      <c r="A149" s="14">
        <v>2015</v>
      </c>
      <c r="B149" s="14" t="s">
        <v>271</v>
      </c>
      <c r="C149" s="14" t="s">
        <v>58</v>
      </c>
      <c r="D149" s="14" t="str">
        <f t="shared" ref="D149:D154" si="5">"Bird0"&amp;K149&amp;".GPS"&amp;L149&amp;"2015"</f>
        <v>Bird02.GPS462015</v>
      </c>
      <c r="E149" s="15">
        <v>98.6</v>
      </c>
      <c r="F149" s="15">
        <v>472</v>
      </c>
      <c r="G149" s="15">
        <v>62.3</v>
      </c>
      <c r="H149" s="15">
        <v>1.74</v>
      </c>
      <c r="I149" s="15" t="s">
        <v>14</v>
      </c>
      <c r="J149" s="15">
        <v>2800</v>
      </c>
      <c r="K149" s="19">
        <v>2</v>
      </c>
      <c r="L149" s="19">
        <v>46</v>
      </c>
      <c r="M149" s="19"/>
      <c r="N149" s="19"/>
      <c r="O149" s="19"/>
    </row>
    <row r="150" spans="1:15" x14ac:dyDescent="0.25">
      <c r="A150" s="14">
        <v>2015</v>
      </c>
      <c r="B150" s="14" t="s">
        <v>272</v>
      </c>
      <c r="C150" s="14" t="s">
        <v>59</v>
      </c>
      <c r="D150" s="14" t="str">
        <f t="shared" si="5"/>
        <v>Bird03.GPS492015</v>
      </c>
      <c r="E150" s="15">
        <v>100</v>
      </c>
      <c r="F150" s="15">
        <v>468</v>
      </c>
      <c r="G150" s="15">
        <v>62.8</v>
      </c>
      <c r="H150" s="15">
        <v>1.76</v>
      </c>
      <c r="I150" s="15" t="s">
        <v>14</v>
      </c>
      <c r="J150" s="15">
        <v>2750</v>
      </c>
      <c r="K150" s="19">
        <v>3</v>
      </c>
      <c r="L150" s="19">
        <v>49</v>
      </c>
      <c r="M150" s="19"/>
      <c r="N150" s="19"/>
      <c r="O150" s="19"/>
    </row>
    <row r="151" spans="1:15" x14ac:dyDescent="0.25">
      <c r="A151" s="14">
        <v>2015</v>
      </c>
      <c r="B151" s="14" t="s">
        <v>273</v>
      </c>
      <c r="C151" s="14" t="s">
        <v>60</v>
      </c>
      <c r="D151" s="14" t="str">
        <f t="shared" si="5"/>
        <v>Bird04.GPS952015</v>
      </c>
      <c r="E151" s="15">
        <v>101.8</v>
      </c>
      <c r="F151" s="15">
        <v>507</v>
      </c>
      <c r="G151" s="15">
        <v>65</v>
      </c>
      <c r="H151" s="37">
        <v>1.97</v>
      </c>
      <c r="I151" s="15" t="s">
        <v>14</v>
      </c>
      <c r="J151" s="15">
        <v>3150</v>
      </c>
      <c r="K151" s="19">
        <v>4</v>
      </c>
      <c r="L151" s="19">
        <v>95</v>
      </c>
      <c r="M151" s="19"/>
      <c r="N151" s="19"/>
      <c r="O151" s="19"/>
    </row>
    <row r="152" spans="1:15" x14ac:dyDescent="0.25">
      <c r="A152" s="14">
        <v>2015</v>
      </c>
      <c r="B152" s="14" t="s">
        <v>274</v>
      </c>
      <c r="C152" s="14" t="s">
        <v>61</v>
      </c>
      <c r="D152" s="14" t="str">
        <f t="shared" si="5"/>
        <v>Bird05.GPS3b2015</v>
      </c>
      <c r="E152" s="15">
        <v>99.8</v>
      </c>
      <c r="F152" s="15">
        <v>496</v>
      </c>
      <c r="G152" s="15">
        <v>66.900000000000006</v>
      </c>
      <c r="H152" s="15">
        <v>2.0299999999999998</v>
      </c>
      <c r="I152" s="15" t="s">
        <v>15</v>
      </c>
      <c r="J152" s="15">
        <v>3100</v>
      </c>
      <c r="K152" s="19">
        <v>5</v>
      </c>
      <c r="L152" s="19" t="s">
        <v>56</v>
      </c>
      <c r="M152" s="19"/>
      <c r="N152" s="19"/>
      <c r="O152" s="19"/>
    </row>
    <row r="153" spans="1:15" x14ac:dyDescent="0.25">
      <c r="A153" s="14">
        <v>2015</v>
      </c>
      <c r="B153" s="14" t="s">
        <v>275</v>
      </c>
      <c r="C153" s="14" t="s">
        <v>62</v>
      </c>
      <c r="D153" s="14" t="str">
        <f t="shared" si="5"/>
        <v>Bird06.GPS182015</v>
      </c>
      <c r="E153" s="15">
        <v>95.3</v>
      </c>
      <c r="F153" s="15">
        <v>491</v>
      </c>
      <c r="G153" s="15">
        <v>68.599999999999994</v>
      </c>
      <c r="H153" s="37">
        <v>1.63</v>
      </c>
      <c r="I153" s="15" t="s">
        <v>14</v>
      </c>
      <c r="J153" s="15">
        <v>3050</v>
      </c>
      <c r="K153" s="19">
        <v>6</v>
      </c>
      <c r="L153" s="19">
        <v>18</v>
      </c>
      <c r="M153" s="19"/>
      <c r="N153" s="19"/>
      <c r="O153" s="19"/>
    </row>
    <row r="154" spans="1:15" x14ac:dyDescent="0.25">
      <c r="A154" s="14">
        <v>2015</v>
      </c>
      <c r="B154" s="14" t="s">
        <v>276</v>
      </c>
      <c r="C154" s="16"/>
      <c r="D154" s="14" t="str">
        <f t="shared" si="5"/>
        <v>Bird07.GPS202015</v>
      </c>
      <c r="E154" s="15">
        <v>101.9</v>
      </c>
      <c r="F154" s="15">
        <v>502</v>
      </c>
      <c r="G154" s="15">
        <v>66.599999999999994</v>
      </c>
      <c r="H154" s="15">
        <v>1.76</v>
      </c>
      <c r="I154" s="15"/>
      <c r="J154" s="15">
        <v>3100</v>
      </c>
      <c r="K154" s="19">
        <v>7</v>
      </c>
      <c r="L154" s="19">
        <v>20</v>
      </c>
      <c r="M154" s="19"/>
      <c r="N154" s="19"/>
      <c r="O154" s="19"/>
    </row>
    <row r="155" spans="1:15" x14ac:dyDescent="0.25">
      <c r="A155" s="14">
        <v>2015</v>
      </c>
      <c r="B155" s="14" t="s">
        <v>277</v>
      </c>
      <c r="C155" s="14" t="s">
        <v>63</v>
      </c>
      <c r="D155" s="14" t="str">
        <f>"Bird0"&amp;K155&amp;".GPS"&amp;L155&amp;"2015"</f>
        <v>Bird08.GPS492015</v>
      </c>
      <c r="E155" s="15">
        <v>95.4</v>
      </c>
      <c r="F155" s="15">
        <v>487</v>
      </c>
      <c r="G155" s="15">
        <v>67</v>
      </c>
      <c r="H155" s="37">
        <v>1.63</v>
      </c>
      <c r="I155" s="15"/>
      <c r="J155" s="15">
        <v>2700</v>
      </c>
      <c r="K155" s="19">
        <v>8</v>
      </c>
      <c r="L155" s="19">
        <v>49</v>
      </c>
      <c r="M155" s="19"/>
      <c r="N155" s="19"/>
      <c r="O155" s="19"/>
    </row>
    <row r="156" spans="1:15" x14ac:dyDescent="0.25">
      <c r="A156" s="14">
        <v>2015</v>
      </c>
      <c r="B156" s="14" t="s">
        <v>278</v>
      </c>
      <c r="C156" s="16"/>
      <c r="D156" s="14" t="str">
        <f>"Bird0"&amp;K156&amp;".GPS"&amp;L156&amp;"2015"</f>
        <v>Bird09.GPS752015</v>
      </c>
      <c r="E156" s="15">
        <v>97.7</v>
      </c>
      <c r="F156" s="15">
        <v>485</v>
      </c>
      <c r="G156" s="15">
        <v>62.9</v>
      </c>
      <c r="H156" s="37">
        <v>1.94</v>
      </c>
      <c r="I156" s="15"/>
      <c r="J156" s="15">
        <v>2550</v>
      </c>
      <c r="K156" s="19">
        <v>9</v>
      </c>
      <c r="L156" s="19">
        <v>75</v>
      </c>
      <c r="M156" s="19"/>
      <c r="N156" s="19"/>
      <c r="O156" s="19"/>
    </row>
    <row r="157" spans="1:15" x14ac:dyDescent="0.25">
      <c r="A157" s="14">
        <v>2015</v>
      </c>
      <c r="B157" s="14" t="s">
        <v>279</v>
      </c>
      <c r="C157" s="14"/>
      <c r="D157" s="14" t="str">
        <f>"Bird"&amp;K157&amp;".GPS"&amp;L157&amp;"2015"</f>
        <v>Bird11.GPS3b2015</v>
      </c>
      <c r="E157" s="15">
        <v>99</v>
      </c>
      <c r="F157" s="15">
        <v>491</v>
      </c>
      <c r="G157" s="15">
        <v>60.8</v>
      </c>
      <c r="H157" s="37">
        <v>1.99</v>
      </c>
      <c r="I157" s="15" t="s">
        <v>14</v>
      </c>
      <c r="J157" s="15">
        <v>2950</v>
      </c>
      <c r="K157" s="19">
        <v>11</v>
      </c>
      <c r="L157" s="19" t="s">
        <v>56</v>
      </c>
      <c r="M157" s="19"/>
      <c r="N157" s="19"/>
      <c r="O157" s="19"/>
    </row>
    <row r="158" spans="1:15" x14ac:dyDescent="0.25">
      <c r="A158" s="14">
        <v>2015</v>
      </c>
      <c r="B158" s="14" t="s">
        <v>280</v>
      </c>
      <c r="C158" s="16"/>
      <c r="D158" s="14" t="str">
        <f t="shared" ref="D158:D166" si="6">"Bird"&amp;K158&amp;".GPS"&amp;L158&amp;"2015"</f>
        <v>Bird12.GPS952015</v>
      </c>
      <c r="E158" s="15">
        <v>104</v>
      </c>
      <c r="F158" s="15">
        <v>488</v>
      </c>
      <c r="G158" s="15">
        <v>66.8</v>
      </c>
      <c r="H158" s="37">
        <v>1.85</v>
      </c>
      <c r="I158" s="15"/>
      <c r="J158" s="15">
        <v>3100</v>
      </c>
      <c r="K158" s="19">
        <v>12</v>
      </c>
      <c r="L158" s="19">
        <v>95</v>
      </c>
      <c r="M158" s="19"/>
      <c r="N158" s="19"/>
      <c r="O158" s="19"/>
    </row>
    <row r="159" spans="1:15" x14ac:dyDescent="0.25">
      <c r="A159" s="14">
        <v>2015</v>
      </c>
      <c r="B159" s="14" t="s">
        <v>281</v>
      </c>
      <c r="C159" s="16"/>
      <c r="D159" s="14" t="str">
        <f t="shared" si="6"/>
        <v>Bird13.GPS522015</v>
      </c>
      <c r="E159" s="15">
        <v>104.6</v>
      </c>
      <c r="F159" s="15">
        <v>482</v>
      </c>
      <c r="G159" s="15">
        <v>64.7</v>
      </c>
      <c r="H159" s="37">
        <v>1.57</v>
      </c>
      <c r="I159" s="15"/>
      <c r="J159" s="15">
        <v>2950</v>
      </c>
      <c r="K159" s="19">
        <v>13</v>
      </c>
      <c r="L159" s="19">
        <v>52</v>
      </c>
      <c r="M159" s="19"/>
      <c r="N159" s="19"/>
      <c r="O159" s="19"/>
    </row>
    <row r="160" spans="1:15" x14ac:dyDescent="0.25">
      <c r="A160" s="14">
        <v>2015</v>
      </c>
      <c r="B160" s="14" t="s">
        <v>282</v>
      </c>
      <c r="C160" s="16"/>
      <c r="D160" s="14" t="str">
        <f t="shared" si="6"/>
        <v>Bird14.GPS512015</v>
      </c>
      <c r="E160" s="15">
        <v>98.7</v>
      </c>
      <c r="F160" s="15">
        <v>475</v>
      </c>
      <c r="G160" s="15">
        <v>66</v>
      </c>
      <c r="H160" s="37">
        <v>1.68</v>
      </c>
      <c r="I160" s="15" t="s">
        <v>14</v>
      </c>
      <c r="J160" s="15">
        <v>2850</v>
      </c>
      <c r="K160" s="19">
        <v>14</v>
      </c>
      <c r="L160" s="19">
        <v>51</v>
      </c>
      <c r="M160" s="19"/>
      <c r="N160" s="19"/>
      <c r="O160" s="19"/>
    </row>
    <row r="161" spans="1:15" x14ac:dyDescent="0.25">
      <c r="A161" s="14">
        <v>2015</v>
      </c>
      <c r="B161" s="14" t="s">
        <v>283</v>
      </c>
      <c r="C161" s="16"/>
      <c r="D161" s="14" t="str">
        <f t="shared" si="6"/>
        <v>Bird15.GPS182015</v>
      </c>
      <c r="E161" s="15">
        <v>99.6</v>
      </c>
      <c r="F161" s="15">
        <v>476</v>
      </c>
      <c r="G161" s="15">
        <v>64.7</v>
      </c>
      <c r="H161" s="37">
        <v>2.0299999999999998</v>
      </c>
      <c r="I161" s="15"/>
      <c r="J161" s="15">
        <v>3000</v>
      </c>
      <c r="K161" s="19">
        <v>15</v>
      </c>
      <c r="L161" s="19">
        <v>18</v>
      </c>
      <c r="M161" s="19"/>
      <c r="N161" s="19"/>
      <c r="O161" s="19"/>
    </row>
    <row r="162" spans="1:15" x14ac:dyDescent="0.25">
      <c r="A162" s="14">
        <v>2015</v>
      </c>
      <c r="B162" s="14" t="s">
        <v>284</v>
      </c>
      <c r="C162" s="16"/>
      <c r="D162" s="14" t="str">
        <f t="shared" si="6"/>
        <v>Bird16.GPS712015</v>
      </c>
      <c r="E162" s="15">
        <v>98.5</v>
      </c>
      <c r="F162" s="15">
        <v>477</v>
      </c>
      <c r="G162" s="15">
        <v>64.599999999999994</v>
      </c>
      <c r="H162" s="37">
        <v>1.9</v>
      </c>
      <c r="I162" s="15" t="s">
        <v>15</v>
      </c>
      <c r="J162" s="15">
        <v>3200</v>
      </c>
      <c r="K162" s="19">
        <v>16</v>
      </c>
      <c r="L162" s="19">
        <v>71</v>
      </c>
      <c r="M162" s="19"/>
      <c r="N162" s="19"/>
      <c r="O162" s="19"/>
    </row>
    <row r="163" spans="1:15" x14ac:dyDescent="0.25">
      <c r="A163" s="14">
        <v>2015</v>
      </c>
      <c r="B163" s="14" t="s">
        <v>285</v>
      </c>
      <c r="C163" s="16"/>
      <c r="D163" s="14" t="str">
        <f t="shared" si="6"/>
        <v>Bird17.GPS752015</v>
      </c>
      <c r="E163" s="15">
        <v>94.8</v>
      </c>
      <c r="F163" s="15">
        <v>492</v>
      </c>
      <c r="G163" s="15">
        <v>63.9</v>
      </c>
      <c r="H163" s="37">
        <v>1.7</v>
      </c>
      <c r="I163" s="15" t="s">
        <v>15</v>
      </c>
      <c r="J163" s="15">
        <v>2625</v>
      </c>
      <c r="K163" s="19">
        <v>17</v>
      </c>
      <c r="L163" s="19">
        <v>75</v>
      </c>
      <c r="M163" s="19"/>
      <c r="N163" s="19"/>
      <c r="O163" s="19"/>
    </row>
    <row r="164" spans="1:15" x14ac:dyDescent="0.25">
      <c r="A164" s="14">
        <v>2015</v>
      </c>
      <c r="B164" s="14" t="s">
        <v>286</v>
      </c>
      <c r="C164" s="14" t="s">
        <v>64</v>
      </c>
      <c r="D164" s="14" t="str">
        <f t="shared" si="6"/>
        <v>Bird18.GPS3b2015</v>
      </c>
      <c r="E164" s="15">
        <v>96.6</v>
      </c>
      <c r="F164" s="15">
        <v>479</v>
      </c>
      <c r="G164" s="15">
        <v>60</v>
      </c>
      <c r="H164" s="37">
        <v>1.79</v>
      </c>
      <c r="I164" s="15" t="s">
        <v>14</v>
      </c>
      <c r="J164" s="15">
        <v>2850</v>
      </c>
      <c r="K164" s="19">
        <v>18</v>
      </c>
      <c r="L164" s="19" t="s">
        <v>56</v>
      </c>
      <c r="M164" s="19"/>
      <c r="N164" s="19"/>
      <c r="O164" s="19"/>
    </row>
    <row r="165" spans="1:15" x14ac:dyDescent="0.25">
      <c r="A165" s="14">
        <v>2015</v>
      </c>
      <c r="B165" s="17" t="s">
        <v>287</v>
      </c>
      <c r="C165" s="18"/>
      <c r="D165" s="14" t="str">
        <f t="shared" si="6"/>
        <v>Bird19.GPS492015</v>
      </c>
      <c r="E165" s="15">
        <v>97.7</v>
      </c>
      <c r="F165" s="15">
        <v>492</v>
      </c>
      <c r="G165" s="15">
        <v>69.599999999999994</v>
      </c>
      <c r="H165" s="37">
        <v>1.7</v>
      </c>
      <c r="I165" s="15" t="s">
        <v>14</v>
      </c>
      <c r="J165" s="15">
        <v>2800</v>
      </c>
      <c r="K165" s="19">
        <v>19</v>
      </c>
      <c r="L165" s="19">
        <v>49</v>
      </c>
      <c r="M165" s="19"/>
      <c r="N165" s="19"/>
      <c r="O165" s="19"/>
    </row>
    <row r="166" spans="1:15" x14ac:dyDescent="0.25">
      <c r="A166" s="14">
        <v>2015</v>
      </c>
      <c r="B166" s="17" t="s">
        <v>363</v>
      </c>
      <c r="C166" s="18"/>
      <c r="D166" s="14" t="str">
        <f t="shared" si="6"/>
        <v>Bird24.GPS952015</v>
      </c>
      <c r="E166" s="15">
        <v>101.4</v>
      </c>
      <c r="F166" s="15">
        <v>496</v>
      </c>
      <c r="G166" s="15">
        <v>64.599999999999994</v>
      </c>
      <c r="H166" s="15">
        <v>1.6</v>
      </c>
      <c r="I166" s="15"/>
      <c r="J166" s="15">
        <v>3150</v>
      </c>
      <c r="K166" s="19">
        <v>24</v>
      </c>
      <c r="L166" s="19">
        <v>95</v>
      </c>
      <c r="M166" s="19"/>
      <c r="N166" s="19"/>
      <c r="O166" s="19"/>
    </row>
    <row r="167" spans="1:15" x14ac:dyDescent="0.25">
      <c r="A167" s="12">
        <v>2017</v>
      </c>
      <c r="B167" s="12" t="s">
        <v>109</v>
      </c>
      <c r="C167" s="12" t="s">
        <v>110</v>
      </c>
      <c r="D167" s="20" t="s">
        <v>357</v>
      </c>
      <c r="E167" s="35">
        <v>96.8</v>
      </c>
      <c r="F167" s="35">
        <v>495</v>
      </c>
      <c r="G167" s="35">
        <v>61</v>
      </c>
      <c r="H167" s="35">
        <v>1.76</v>
      </c>
      <c r="I167" s="35"/>
      <c r="J167" s="35">
        <v>2400</v>
      </c>
      <c r="K167" s="12">
        <v>1</v>
      </c>
      <c r="L167" s="12">
        <v>12</v>
      </c>
      <c r="M167" s="12"/>
      <c r="N167" s="12"/>
      <c r="O167" s="12"/>
    </row>
    <row r="168" spans="1:15" x14ac:dyDescent="0.25">
      <c r="A168" s="12">
        <v>2017</v>
      </c>
      <c r="B168" s="12" t="s">
        <v>111</v>
      </c>
      <c r="C168" s="12" t="s">
        <v>112</v>
      </c>
      <c r="D168" s="20" t="s">
        <v>191</v>
      </c>
      <c r="E168" s="35">
        <v>98.2</v>
      </c>
      <c r="F168" s="35">
        <v>480</v>
      </c>
      <c r="G168" s="35">
        <v>57</v>
      </c>
      <c r="H168" s="35">
        <v>1.1599999999999999</v>
      </c>
      <c r="I168" s="35"/>
      <c r="J168" s="35">
        <v>3400</v>
      </c>
      <c r="K168" s="12">
        <v>2</v>
      </c>
      <c r="L168" s="12">
        <v>10</v>
      </c>
      <c r="M168" s="12"/>
      <c r="N168" s="12"/>
      <c r="O168" s="12"/>
    </row>
    <row r="169" spans="1:15" x14ac:dyDescent="0.25">
      <c r="A169" s="12">
        <v>2017</v>
      </c>
      <c r="B169" s="12" t="s">
        <v>113</v>
      </c>
      <c r="C169" s="12" t="s">
        <v>114</v>
      </c>
      <c r="D169" s="20" t="s">
        <v>193</v>
      </c>
      <c r="E169" s="35">
        <v>97.8</v>
      </c>
      <c r="F169" s="35">
        <v>480</v>
      </c>
      <c r="G169" s="35">
        <v>62.8</v>
      </c>
      <c r="H169" s="35"/>
      <c r="I169" s="35"/>
      <c r="J169" s="35">
        <v>2800</v>
      </c>
      <c r="K169" s="12">
        <v>3</v>
      </c>
      <c r="L169" s="12">
        <v>13</v>
      </c>
      <c r="M169" s="12"/>
      <c r="N169" s="12"/>
      <c r="O169" s="12"/>
    </row>
    <row r="170" spans="1:15" x14ac:dyDescent="0.25">
      <c r="A170" s="12">
        <v>2017</v>
      </c>
      <c r="B170" s="12" t="s">
        <v>115</v>
      </c>
      <c r="C170" s="12" t="s">
        <v>116</v>
      </c>
      <c r="D170" s="20" t="s">
        <v>194</v>
      </c>
      <c r="E170" s="35">
        <v>97.1</v>
      </c>
      <c r="F170" s="35">
        <v>492</v>
      </c>
      <c r="G170" s="35">
        <v>67.2</v>
      </c>
      <c r="H170" s="35">
        <v>1.52</v>
      </c>
      <c r="I170" s="35"/>
      <c r="J170" s="35">
        <v>3120</v>
      </c>
      <c r="K170" s="12">
        <v>4</v>
      </c>
      <c r="L170" s="12">
        <v>5</v>
      </c>
      <c r="M170" s="12"/>
      <c r="N170" s="12"/>
      <c r="O170" s="12"/>
    </row>
    <row r="171" spans="1:15" x14ac:dyDescent="0.25">
      <c r="A171" s="12">
        <v>2017</v>
      </c>
      <c r="B171" s="12" t="s">
        <v>117</v>
      </c>
      <c r="C171" s="12" t="s">
        <v>118</v>
      </c>
      <c r="D171" s="20" t="s">
        <v>195</v>
      </c>
      <c r="E171" s="35">
        <v>103.7</v>
      </c>
      <c r="F171" s="35">
        <v>494</v>
      </c>
      <c r="G171" s="35">
        <v>68.900000000000006</v>
      </c>
      <c r="H171" s="35">
        <v>2.0099999999999998</v>
      </c>
      <c r="I171" s="35"/>
      <c r="J171" s="35">
        <v>3200</v>
      </c>
      <c r="K171" s="12">
        <v>5</v>
      </c>
      <c r="L171" s="12">
        <v>14</v>
      </c>
      <c r="M171" s="12"/>
      <c r="N171" s="12"/>
      <c r="O171" s="12"/>
    </row>
    <row r="172" spans="1:15" x14ac:dyDescent="0.25">
      <c r="A172" s="12">
        <v>2017</v>
      </c>
      <c r="B172" s="12" t="s">
        <v>119</v>
      </c>
      <c r="C172" s="12" t="s">
        <v>120</v>
      </c>
      <c r="D172" s="20" t="s">
        <v>196</v>
      </c>
      <c r="E172" s="35">
        <v>100.8</v>
      </c>
      <c r="F172" s="35">
        <v>510</v>
      </c>
      <c r="G172" s="35">
        <v>67.7</v>
      </c>
      <c r="H172" s="35">
        <v>1.87</v>
      </c>
      <c r="I172" s="35"/>
      <c r="J172" s="35">
        <v>3150</v>
      </c>
      <c r="K172" s="12">
        <v>6</v>
      </c>
      <c r="L172" s="12">
        <v>11</v>
      </c>
      <c r="M172" s="12"/>
      <c r="N172" s="12"/>
      <c r="O172" s="12"/>
    </row>
    <row r="173" spans="1:15" x14ac:dyDescent="0.25">
      <c r="A173" s="12">
        <v>2017</v>
      </c>
      <c r="B173" s="12" t="s">
        <v>121</v>
      </c>
      <c r="C173" s="12" t="s">
        <v>122</v>
      </c>
      <c r="D173" s="20" t="s">
        <v>197</v>
      </c>
      <c r="E173" s="35">
        <v>98.2</v>
      </c>
      <c r="F173" s="35">
        <v>493</v>
      </c>
      <c r="G173" s="35">
        <v>63.7</v>
      </c>
      <c r="H173" s="35">
        <v>1.93</v>
      </c>
      <c r="I173" s="35"/>
      <c r="J173" s="35">
        <v>2950</v>
      </c>
      <c r="K173" s="12">
        <v>7</v>
      </c>
      <c r="L173" s="12">
        <v>1</v>
      </c>
      <c r="M173" s="12"/>
      <c r="N173" s="12"/>
      <c r="O173" s="12"/>
    </row>
    <row r="174" spans="1:15" x14ac:dyDescent="0.25">
      <c r="A174" s="12">
        <v>2017</v>
      </c>
      <c r="B174" s="12" t="s">
        <v>123</v>
      </c>
      <c r="C174" s="12" t="s">
        <v>124</v>
      </c>
      <c r="D174" s="20" t="s">
        <v>198</v>
      </c>
      <c r="E174" s="35">
        <v>102.3</v>
      </c>
      <c r="F174" s="35">
        <v>483</v>
      </c>
      <c r="G174" s="35">
        <v>60.7</v>
      </c>
      <c r="H174" s="35">
        <v>1.27</v>
      </c>
      <c r="I174" s="35"/>
      <c r="J174" s="35">
        <v>3100</v>
      </c>
      <c r="K174" s="12">
        <v>8</v>
      </c>
      <c r="L174" s="12">
        <v>2</v>
      </c>
      <c r="M174" s="12"/>
      <c r="N174" s="12"/>
      <c r="O174" s="12"/>
    </row>
    <row r="175" spans="1:15" x14ac:dyDescent="0.25">
      <c r="A175" s="12">
        <v>2017</v>
      </c>
      <c r="B175" s="12" t="s">
        <v>125</v>
      </c>
      <c r="C175" s="12" t="s">
        <v>126</v>
      </c>
      <c r="D175" s="20" t="s">
        <v>199</v>
      </c>
      <c r="E175" s="35">
        <v>99.5</v>
      </c>
      <c r="F175" s="35">
        <v>499</v>
      </c>
      <c r="G175" s="35">
        <v>62</v>
      </c>
      <c r="H175" s="35">
        <v>1.51</v>
      </c>
      <c r="I175" s="35"/>
      <c r="J175" s="35">
        <v>3400</v>
      </c>
      <c r="K175" s="12">
        <v>9</v>
      </c>
      <c r="L175" s="12">
        <v>6</v>
      </c>
      <c r="M175" s="12"/>
      <c r="N175" s="12"/>
      <c r="O175" s="12"/>
    </row>
    <row r="176" spans="1:15" x14ac:dyDescent="0.25">
      <c r="A176" s="12">
        <v>2017</v>
      </c>
      <c r="B176" s="12" t="s">
        <v>127</v>
      </c>
      <c r="C176" s="12" t="s">
        <v>128</v>
      </c>
      <c r="D176" s="20" t="s">
        <v>190</v>
      </c>
      <c r="E176" s="35">
        <v>98.4</v>
      </c>
      <c r="F176" s="35">
        <v>488</v>
      </c>
      <c r="G176" s="35">
        <v>59.7</v>
      </c>
      <c r="H176" s="35">
        <v>1.61</v>
      </c>
      <c r="I176" s="35"/>
      <c r="J176" s="35">
        <v>2750</v>
      </c>
      <c r="K176" s="12">
        <v>10</v>
      </c>
      <c r="L176" s="12">
        <v>4</v>
      </c>
      <c r="M176" s="12"/>
      <c r="N176" s="12"/>
      <c r="O176" s="12"/>
    </row>
    <row r="177" spans="1:15" x14ac:dyDescent="0.25">
      <c r="A177" s="12">
        <v>2017</v>
      </c>
      <c r="B177" s="12" t="s">
        <v>108</v>
      </c>
      <c r="C177" s="12" t="s">
        <v>129</v>
      </c>
      <c r="D177" s="12" t="s">
        <v>192</v>
      </c>
      <c r="E177" s="35">
        <v>99.1</v>
      </c>
      <c r="F177" s="35">
        <v>510</v>
      </c>
      <c r="G177" s="35">
        <v>64.5</v>
      </c>
      <c r="H177" s="35"/>
      <c r="I177" s="35"/>
      <c r="J177" s="35">
        <v>3000</v>
      </c>
      <c r="K177" s="12">
        <v>12</v>
      </c>
      <c r="L177" s="12">
        <v>8</v>
      </c>
      <c r="M177" s="12"/>
      <c r="N177" s="12"/>
      <c r="O177" s="12"/>
    </row>
    <row r="178" spans="1:15" x14ac:dyDescent="0.25">
      <c r="A178" s="6">
        <v>2019</v>
      </c>
      <c r="B178" s="6" t="s">
        <v>130</v>
      </c>
      <c r="C178" s="6" t="s">
        <v>131</v>
      </c>
      <c r="D178" s="7" t="s">
        <v>224</v>
      </c>
      <c r="E178" s="28">
        <v>103</v>
      </c>
      <c r="F178" s="28">
        <v>499</v>
      </c>
      <c r="G178" s="28">
        <v>69.900000000000006</v>
      </c>
      <c r="H178" s="28"/>
      <c r="I178" s="28"/>
      <c r="J178" s="28">
        <v>2750</v>
      </c>
      <c r="K178" s="21">
        <v>3</v>
      </c>
      <c r="L178" s="6"/>
      <c r="M178" s="6"/>
      <c r="N178" s="6"/>
      <c r="O178" s="6"/>
    </row>
    <row r="179" spans="1:15" x14ac:dyDescent="0.25">
      <c r="A179" s="6">
        <v>2019</v>
      </c>
      <c r="B179" s="6" t="s">
        <v>288</v>
      </c>
      <c r="C179" s="6" t="s">
        <v>132</v>
      </c>
      <c r="D179" s="7" t="s">
        <v>230</v>
      </c>
      <c r="E179" s="28">
        <v>106</v>
      </c>
      <c r="F179" s="28">
        <v>503</v>
      </c>
      <c r="G179" s="28">
        <v>77</v>
      </c>
      <c r="H179" s="28">
        <v>1.17</v>
      </c>
      <c r="I179" s="28"/>
      <c r="J179" s="28">
        <v>4100</v>
      </c>
      <c r="K179" s="21">
        <v>7</v>
      </c>
      <c r="L179" s="6"/>
      <c r="M179" s="6"/>
      <c r="N179" s="6"/>
      <c r="O179" s="6"/>
    </row>
    <row r="180" spans="1:15" x14ac:dyDescent="0.25">
      <c r="A180" s="6">
        <v>2019</v>
      </c>
      <c r="B180" s="6" t="s">
        <v>289</v>
      </c>
      <c r="C180" s="6" t="s">
        <v>133</v>
      </c>
      <c r="D180" s="7" t="s">
        <v>226</v>
      </c>
      <c r="E180" s="28">
        <v>99</v>
      </c>
      <c r="F180" s="28">
        <v>501</v>
      </c>
      <c r="G180" s="28">
        <v>67.900000000000006</v>
      </c>
      <c r="H180" s="28">
        <v>1.89</v>
      </c>
      <c r="I180" s="28"/>
      <c r="J180" s="28">
        <v>2950</v>
      </c>
      <c r="K180" s="21">
        <v>2</v>
      </c>
      <c r="L180" s="6"/>
      <c r="M180" s="6"/>
      <c r="N180" s="6"/>
      <c r="O180" s="6"/>
    </row>
    <row r="181" spans="1:15" x14ac:dyDescent="0.25">
      <c r="A181" s="6">
        <v>2019</v>
      </c>
      <c r="B181" s="6" t="s">
        <v>290</v>
      </c>
      <c r="C181" s="6" t="s">
        <v>134</v>
      </c>
      <c r="D181" s="7" t="s">
        <v>227</v>
      </c>
      <c r="E181" s="28">
        <v>103</v>
      </c>
      <c r="F181" s="28">
        <v>506</v>
      </c>
      <c r="G181" s="28">
        <v>73.2</v>
      </c>
      <c r="H181" s="28">
        <v>1.34</v>
      </c>
      <c r="I181" s="28"/>
      <c r="J181" s="28">
        <v>3550</v>
      </c>
      <c r="K181" s="21">
        <v>1</v>
      </c>
      <c r="L181" s="6"/>
      <c r="M181" s="6"/>
      <c r="N181" s="6"/>
      <c r="O181" s="6"/>
    </row>
    <row r="182" spans="1:15" x14ac:dyDescent="0.25">
      <c r="A182" s="6">
        <v>2019</v>
      </c>
      <c r="B182" s="6" t="s">
        <v>291</v>
      </c>
      <c r="C182" s="6" t="s">
        <v>135</v>
      </c>
      <c r="D182" s="7" t="s">
        <v>228</v>
      </c>
      <c r="E182" s="28">
        <v>105</v>
      </c>
      <c r="F182" s="28">
        <v>500</v>
      </c>
      <c r="G182" s="28">
        <v>75.099999999999994</v>
      </c>
      <c r="H182" s="28">
        <v>1.26</v>
      </c>
      <c r="I182" s="28"/>
      <c r="J182" s="28">
        <v>3500</v>
      </c>
      <c r="K182" s="21">
        <v>6</v>
      </c>
      <c r="L182" s="6"/>
      <c r="M182" s="6"/>
      <c r="N182" s="6"/>
      <c r="O182" s="6"/>
    </row>
    <row r="183" spans="1:15" x14ac:dyDescent="0.25">
      <c r="A183" s="6">
        <v>2019</v>
      </c>
      <c r="B183" s="6" t="s">
        <v>292</v>
      </c>
      <c r="C183" s="6" t="s">
        <v>136</v>
      </c>
      <c r="D183" s="7" t="s">
        <v>225</v>
      </c>
      <c r="E183" s="28">
        <v>101</v>
      </c>
      <c r="F183" s="28">
        <v>492</v>
      </c>
      <c r="G183" s="28">
        <v>74.8</v>
      </c>
      <c r="H183" s="28">
        <v>1.7</v>
      </c>
      <c r="I183" s="28"/>
      <c r="J183" s="28">
        <v>3200</v>
      </c>
      <c r="K183" s="21">
        <v>9</v>
      </c>
      <c r="L183" s="6"/>
      <c r="M183" s="6"/>
      <c r="N183" s="6"/>
      <c r="O183" s="6"/>
    </row>
    <row r="184" spans="1:15" x14ac:dyDescent="0.25">
      <c r="A184" s="6">
        <v>2019</v>
      </c>
      <c r="B184" s="6" t="s">
        <v>293</v>
      </c>
      <c r="C184" s="6" t="s">
        <v>137</v>
      </c>
      <c r="D184" s="7" t="s">
        <v>229</v>
      </c>
      <c r="E184" s="28">
        <v>99</v>
      </c>
      <c r="F184" s="28">
        <v>505</v>
      </c>
      <c r="G184" s="28">
        <v>69.599999999999994</v>
      </c>
      <c r="H184" s="28">
        <v>1.18</v>
      </c>
      <c r="I184" s="28"/>
      <c r="J184" s="28">
        <v>3100</v>
      </c>
      <c r="K184" s="21">
        <v>13</v>
      </c>
      <c r="L184" s="6"/>
      <c r="M184" s="6"/>
      <c r="N184" s="6"/>
      <c r="O184" s="6"/>
    </row>
    <row r="185" spans="1:15" x14ac:dyDescent="0.25">
      <c r="A185" s="6">
        <v>2019</v>
      </c>
      <c r="B185" s="6"/>
      <c r="C185" s="6"/>
      <c r="D185" s="7" t="s">
        <v>237</v>
      </c>
      <c r="E185" s="28">
        <v>102</v>
      </c>
      <c r="F185" s="28">
        <v>497</v>
      </c>
      <c r="G185" s="28">
        <v>72.400000000000006</v>
      </c>
      <c r="H185" s="28">
        <v>1.43</v>
      </c>
      <c r="I185" s="28"/>
      <c r="J185" s="28">
        <v>3300</v>
      </c>
      <c r="K185" s="21">
        <v>11</v>
      </c>
      <c r="L185" s="6"/>
      <c r="M185" s="6"/>
      <c r="N185" s="6"/>
      <c r="O185" s="6"/>
    </row>
    <row r="186" spans="1:15" x14ac:dyDescent="0.25">
      <c r="A186" s="6">
        <v>2019</v>
      </c>
      <c r="B186" s="6" t="s">
        <v>294</v>
      </c>
      <c r="C186" s="6" t="s">
        <v>138</v>
      </c>
      <c r="D186" s="7" t="s">
        <v>231</v>
      </c>
      <c r="E186" s="28">
        <v>94</v>
      </c>
      <c r="F186" s="28">
        <v>506</v>
      </c>
      <c r="G186" s="28">
        <v>74</v>
      </c>
      <c r="H186" s="28">
        <v>1.47</v>
      </c>
      <c r="I186" s="28"/>
      <c r="J186" s="28">
        <v>3500</v>
      </c>
      <c r="K186" s="21">
        <v>14</v>
      </c>
      <c r="L186" s="6"/>
      <c r="M186" s="6"/>
      <c r="N186" s="6"/>
      <c r="O186" s="6"/>
    </row>
    <row r="187" spans="1:15" x14ac:dyDescent="0.25">
      <c r="A187" s="6">
        <v>2019</v>
      </c>
      <c r="B187" s="6" t="s">
        <v>295</v>
      </c>
      <c r="C187" s="6" t="s">
        <v>139</v>
      </c>
      <c r="D187" s="7" t="s">
        <v>232</v>
      </c>
      <c r="E187" s="28">
        <v>100</v>
      </c>
      <c r="F187" s="28">
        <v>492</v>
      </c>
      <c r="G187" s="28">
        <v>72.5</v>
      </c>
      <c r="H187" s="28">
        <v>1.3</v>
      </c>
      <c r="I187" s="28"/>
      <c r="J187" s="28">
        <v>3100</v>
      </c>
      <c r="K187" s="21">
        <v>12</v>
      </c>
      <c r="L187" s="6"/>
      <c r="M187" s="6"/>
      <c r="N187" s="6"/>
      <c r="O187" s="6"/>
    </row>
    <row r="188" spans="1:15" x14ac:dyDescent="0.25">
      <c r="A188" s="6">
        <v>2019</v>
      </c>
      <c r="B188" s="6" t="s">
        <v>296</v>
      </c>
      <c r="C188" s="6" t="s">
        <v>140</v>
      </c>
      <c r="D188" s="7" t="s">
        <v>233</v>
      </c>
      <c r="E188" s="28">
        <v>98</v>
      </c>
      <c r="F188" s="28">
        <v>450</v>
      </c>
      <c r="G188" s="28">
        <v>73.2</v>
      </c>
      <c r="H188" s="28">
        <v>1.41</v>
      </c>
      <c r="I188" s="28"/>
      <c r="J188" s="28">
        <v>2900</v>
      </c>
      <c r="K188" s="21">
        <v>15</v>
      </c>
      <c r="L188" s="6"/>
      <c r="M188" s="6"/>
      <c r="N188" s="6"/>
      <c r="O188" s="6"/>
    </row>
    <row r="189" spans="1:15" x14ac:dyDescent="0.25">
      <c r="A189" s="6">
        <v>2019</v>
      </c>
      <c r="B189" s="6" t="s">
        <v>297</v>
      </c>
      <c r="C189" s="6" t="s">
        <v>141</v>
      </c>
      <c r="D189" s="7" t="s">
        <v>234</v>
      </c>
      <c r="E189" s="28">
        <v>96</v>
      </c>
      <c r="F189" s="28">
        <v>500</v>
      </c>
      <c r="G189" s="28">
        <v>70.599999999999994</v>
      </c>
      <c r="H189" s="28">
        <v>1.17</v>
      </c>
      <c r="I189" s="28"/>
      <c r="J189" s="28">
        <v>2750</v>
      </c>
      <c r="K189" s="21">
        <v>16</v>
      </c>
      <c r="L189" s="6"/>
      <c r="M189" s="6"/>
      <c r="N189" s="6"/>
      <c r="O189" s="6"/>
    </row>
    <row r="190" spans="1:15" x14ac:dyDescent="0.25">
      <c r="A190" s="6">
        <v>2019</v>
      </c>
      <c r="B190" s="6" t="s">
        <v>298</v>
      </c>
      <c r="C190" s="6" t="s">
        <v>142</v>
      </c>
      <c r="D190" s="7" t="s">
        <v>236</v>
      </c>
      <c r="E190" s="28">
        <v>101</v>
      </c>
      <c r="F190" s="28">
        <v>492</v>
      </c>
      <c r="G190" s="28">
        <v>70.8</v>
      </c>
      <c r="H190" s="28">
        <v>1.25</v>
      </c>
      <c r="I190" s="28"/>
      <c r="J190" s="28">
        <v>3200</v>
      </c>
      <c r="K190" s="21">
        <v>19</v>
      </c>
      <c r="L190" s="6"/>
      <c r="M190" s="6"/>
      <c r="N190" s="6"/>
      <c r="O190" s="6"/>
    </row>
    <row r="191" spans="1:15" x14ac:dyDescent="0.25">
      <c r="A191" s="6">
        <v>2019</v>
      </c>
      <c r="B191" s="6" t="s">
        <v>299</v>
      </c>
      <c r="C191" s="6" t="s">
        <v>143</v>
      </c>
      <c r="D191" s="7" t="s">
        <v>235</v>
      </c>
      <c r="E191" s="28">
        <v>99</v>
      </c>
      <c r="F191" s="28">
        <v>489</v>
      </c>
      <c r="G191" s="28">
        <v>74.400000000000006</v>
      </c>
      <c r="H191" s="28">
        <v>1.76</v>
      </c>
      <c r="I191" s="28"/>
      <c r="J191" s="28">
        <v>3350</v>
      </c>
      <c r="K191" s="21">
        <v>3</v>
      </c>
      <c r="L191" s="6"/>
      <c r="M191" s="6"/>
      <c r="N191" s="6"/>
      <c r="O191" s="6"/>
    </row>
    <row r="192" spans="1:15" x14ac:dyDescent="0.25">
      <c r="A192" s="6">
        <v>2019</v>
      </c>
      <c r="B192" s="6"/>
      <c r="C192" s="6"/>
      <c r="D192" s="7" t="s">
        <v>239</v>
      </c>
      <c r="E192" s="28">
        <v>99</v>
      </c>
      <c r="F192" s="28">
        <v>496</v>
      </c>
      <c r="G192" s="28">
        <v>65.099999999999994</v>
      </c>
      <c r="H192" s="28">
        <v>1.59</v>
      </c>
      <c r="I192" s="28"/>
      <c r="J192" s="28">
        <v>3200</v>
      </c>
      <c r="K192" s="21">
        <v>2</v>
      </c>
      <c r="L192" s="6"/>
      <c r="M192" s="6"/>
      <c r="N192" s="6"/>
      <c r="O192" s="6"/>
    </row>
    <row r="193" spans="1:15" x14ac:dyDescent="0.25">
      <c r="A193" s="6">
        <v>2019</v>
      </c>
      <c r="B193" s="6"/>
      <c r="C193" s="6"/>
      <c r="D193" s="7" t="s">
        <v>240</v>
      </c>
      <c r="E193" s="28">
        <v>95</v>
      </c>
      <c r="F193" s="28">
        <v>493</v>
      </c>
      <c r="G193" s="28">
        <v>68.8</v>
      </c>
      <c r="H193" s="28">
        <v>1.3</v>
      </c>
      <c r="I193" s="28"/>
      <c r="J193" s="28">
        <v>2950</v>
      </c>
      <c r="K193" s="21">
        <v>6</v>
      </c>
      <c r="L193" s="6"/>
      <c r="M193" s="6"/>
      <c r="N193" s="6"/>
      <c r="O193" s="6"/>
    </row>
    <row r="194" spans="1:15" x14ac:dyDescent="0.25">
      <c r="A194" s="6">
        <v>2019</v>
      </c>
      <c r="B194" s="6"/>
      <c r="C194" s="6"/>
      <c r="D194" s="7" t="s">
        <v>241</v>
      </c>
      <c r="E194" s="28">
        <v>95</v>
      </c>
      <c r="F194" s="28">
        <v>496</v>
      </c>
      <c r="G194" s="28">
        <v>67.8</v>
      </c>
      <c r="H194" s="28">
        <v>1.4</v>
      </c>
      <c r="I194" s="28"/>
      <c r="J194" s="28">
        <v>3050</v>
      </c>
      <c r="K194" s="21">
        <v>7</v>
      </c>
      <c r="L194" s="6"/>
      <c r="M194" s="6"/>
      <c r="N194" s="6"/>
      <c r="O194" s="6"/>
    </row>
    <row r="195" spans="1:15" x14ac:dyDescent="0.25">
      <c r="A195" s="6">
        <v>2019</v>
      </c>
      <c r="B195" s="6"/>
      <c r="C195" s="6"/>
      <c r="D195" s="7" t="s">
        <v>242</v>
      </c>
      <c r="E195" s="28">
        <v>101</v>
      </c>
      <c r="F195" s="28">
        <v>477</v>
      </c>
      <c r="G195" s="28">
        <v>68.7</v>
      </c>
      <c r="H195" s="28">
        <v>1.19</v>
      </c>
      <c r="I195" s="28"/>
      <c r="J195" s="28">
        <v>2600</v>
      </c>
      <c r="K195" s="21">
        <v>9</v>
      </c>
      <c r="L195" s="6"/>
      <c r="M195" s="6"/>
      <c r="N195" s="6"/>
      <c r="O195" s="6"/>
    </row>
    <row r="196" spans="1:15" x14ac:dyDescent="0.25">
      <c r="A196" s="6">
        <v>2019</v>
      </c>
      <c r="B196" s="6" t="s">
        <v>300</v>
      </c>
      <c r="C196" s="6"/>
      <c r="D196" s="7" t="s">
        <v>238</v>
      </c>
      <c r="E196" s="28">
        <v>98</v>
      </c>
      <c r="F196" s="28">
        <v>498</v>
      </c>
      <c r="G196" s="28">
        <v>77.5</v>
      </c>
      <c r="H196" s="28">
        <v>1.26</v>
      </c>
      <c r="I196" s="28"/>
      <c r="J196" s="28">
        <v>3400</v>
      </c>
      <c r="K196" s="21">
        <v>13</v>
      </c>
      <c r="L196" s="6"/>
      <c r="M196" s="6"/>
      <c r="N196" s="6"/>
      <c r="O196" s="6"/>
    </row>
    <row r="197" spans="1:15" x14ac:dyDescent="0.25">
      <c r="A197" s="22">
        <v>2016</v>
      </c>
      <c r="B197" s="22" t="s">
        <v>160</v>
      </c>
      <c r="C197" s="22" t="s">
        <v>161</v>
      </c>
      <c r="D197" s="22" t="str">
        <f t="shared" ref="D197:D215" si="7">"2016.Bird" &amp; K197 &amp; "-" &amp; L197</f>
        <v>2016.Bird1-GPS101</v>
      </c>
      <c r="E197" s="38">
        <v>97.9</v>
      </c>
      <c r="F197" s="38">
        <v>487</v>
      </c>
      <c r="G197" s="38">
        <v>66</v>
      </c>
      <c r="H197" s="38">
        <v>1.96</v>
      </c>
      <c r="I197" s="38" t="s">
        <v>15</v>
      </c>
      <c r="J197" s="38">
        <v>3050</v>
      </c>
      <c r="K197" s="22">
        <v>1</v>
      </c>
      <c r="L197" s="22" t="s">
        <v>183</v>
      </c>
      <c r="M197" s="22"/>
      <c r="N197" s="22"/>
      <c r="O197" s="22"/>
    </row>
    <row r="198" spans="1:15" x14ac:dyDescent="0.25">
      <c r="A198" s="22">
        <v>2016</v>
      </c>
      <c r="B198" s="22"/>
      <c r="C198" s="22" t="s">
        <v>162</v>
      </c>
      <c r="D198" s="22" t="str">
        <f t="shared" si="7"/>
        <v>2016.Bird2-GPS105</v>
      </c>
      <c r="E198" s="38">
        <v>96.9</v>
      </c>
      <c r="F198" s="38">
        <v>486</v>
      </c>
      <c r="G198" s="38">
        <v>64.099999999999994</v>
      </c>
      <c r="H198" s="38">
        <v>1.91</v>
      </c>
      <c r="I198" s="38"/>
      <c r="J198" s="38">
        <v>2800</v>
      </c>
      <c r="K198" s="22">
        <v>2</v>
      </c>
      <c r="L198" s="22" t="s">
        <v>184</v>
      </c>
      <c r="M198" s="22"/>
      <c r="N198" s="22"/>
      <c r="O198" s="22"/>
    </row>
    <row r="199" spans="1:15" x14ac:dyDescent="0.25">
      <c r="A199" s="22">
        <v>2016</v>
      </c>
      <c r="B199" s="22" t="s">
        <v>163</v>
      </c>
      <c r="C199" s="22" t="s">
        <v>164</v>
      </c>
      <c r="D199" s="22" t="str">
        <f t="shared" si="7"/>
        <v>2016.Bird3-GPS107</v>
      </c>
      <c r="E199" s="38">
        <v>100</v>
      </c>
      <c r="F199" s="38">
        <v>492</v>
      </c>
      <c r="G199" s="38">
        <v>63.6</v>
      </c>
      <c r="H199" s="38">
        <v>1.52</v>
      </c>
      <c r="I199" s="38"/>
      <c r="J199" s="38">
        <v>2750</v>
      </c>
      <c r="K199" s="22">
        <v>3</v>
      </c>
      <c r="L199" s="22" t="s">
        <v>185</v>
      </c>
      <c r="M199" s="22"/>
      <c r="N199" s="22"/>
      <c r="O199" s="22"/>
    </row>
    <row r="200" spans="1:15" x14ac:dyDescent="0.25">
      <c r="A200" s="22">
        <v>2016</v>
      </c>
      <c r="B200" s="22" t="s">
        <v>157</v>
      </c>
      <c r="C200" s="22"/>
      <c r="D200" s="22" t="str">
        <f t="shared" si="7"/>
        <v>2016.Bird4-GPS113</v>
      </c>
      <c r="E200" s="38"/>
      <c r="F200" s="38">
        <v>502</v>
      </c>
      <c r="G200" s="38">
        <v>65.7</v>
      </c>
      <c r="H200" s="38">
        <v>1.75</v>
      </c>
      <c r="I200" s="38"/>
      <c r="J200" s="38">
        <v>3100</v>
      </c>
      <c r="K200" s="22">
        <v>4</v>
      </c>
      <c r="L200" s="22" t="s">
        <v>211</v>
      </c>
      <c r="M200" s="22"/>
      <c r="N200" s="22"/>
      <c r="O200" s="22"/>
    </row>
    <row r="201" spans="1:15" x14ac:dyDescent="0.25">
      <c r="A201" s="22">
        <v>2016</v>
      </c>
      <c r="B201" s="22" t="s">
        <v>165</v>
      </c>
      <c r="C201" s="22" t="s">
        <v>166</v>
      </c>
      <c r="D201" s="22" t="str">
        <f t="shared" si="7"/>
        <v>2016.Bird5-GPS110</v>
      </c>
      <c r="E201" s="38"/>
      <c r="F201" s="38">
        <v>484</v>
      </c>
      <c r="G201" s="38">
        <v>63.3</v>
      </c>
      <c r="H201" s="38">
        <v>1.59</v>
      </c>
      <c r="I201" s="38" t="s">
        <v>14</v>
      </c>
      <c r="J201" s="38">
        <v>3025</v>
      </c>
      <c r="K201" s="22">
        <v>5</v>
      </c>
      <c r="L201" s="22" t="s">
        <v>186</v>
      </c>
      <c r="M201" s="22"/>
      <c r="N201" s="22"/>
      <c r="O201" s="22"/>
    </row>
    <row r="202" spans="1:15" x14ac:dyDescent="0.25">
      <c r="A202" s="22">
        <v>2016</v>
      </c>
      <c r="B202" s="22" t="s">
        <v>167</v>
      </c>
      <c r="C202" s="22"/>
      <c r="D202" s="22" t="str">
        <f t="shared" si="7"/>
        <v>2016.Bird6-GPS119</v>
      </c>
      <c r="E202" s="38">
        <v>99.2</v>
      </c>
      <c r="F202" s="38">
        <v>492</v>
      </c>
      <c r="G202" s="38">
        <v>67.599999999999994</v>
      </c>
      <c r="H202" s="38">
        <v>1.69</v>
      </c>
      <c r="I202" s="38"/>
      <c r="J202" s="38">
        <v>3075</v>
      </c>
      <c r="K202" s="22">
        <v>6</v>
      </c>
      <c r="L202" s="22" t="s">
        <v>212</v>
      </c>
      <c r="M202" s="22"/>
      <c r="N202" s="22"/>
      <c r="O202" s="22"/>
    </row>
    <row r="203" spans="1:15" x14ac:dyDescent="0.25">
      <c r="A203" s="22">
        <v>2016</v>
      </c>
      <c r="B203" s="22" t="s">
        <v>182</v>
      </c>
      <c r="C203" s="22"/>
      <c r="D203" s="22" t="str">
        <f t="shared" si="7"/>
        <v>2016.Bird7-GPS98</v>
      </c>
      <c r="E203" s="38">
        <v>103.9</v>
      </c>
      <c r="F203" s="38">
        <v>482</v>
      </c>
      <c r="G203" s="38">
        <v>65.2</v>
      </c>
      <c r="H203" s="38">
        <v>1.82</v>
      </c>
      <c r="I203" s="38" t="s">
        <v>14</v>
      </c>
      <c r="J203" s="38">
        <v>2650</v>
      </c>
      <c r="K203" s="22">
        <v>7</v>
      </c>
      <c r="L203" s="22" t="s">
        <v>213</v>
      </c>
      <c r="M203" s="22"/>
      <c r="N203" s="22"/>
      <c r="O203" s="22"/>
    </row>
    <row r="204" spans="1:15" x14ac:dyDescent="0.25">
      <c r="A204" s="22">
        <v>2016</v>
      </c>
      <c r="B204" s="22" t="s">
        <v>168</v>
      </c>
      <c r="C204" s="22"/>
      <c r="D204" s="22" t="str">
        <f t="shared" si="7"/>
        <v>2016.Bird8-GPS99</v>
      </c>
      <c r="E204" s="38">
        <v>100.8</v>
      </c>
      <c r="F204" s="38">
        <v>498</v>
      </c>
      <c r="G204" s="38">
        <v>70</v>
      </c>
      <c r="H204" s="38">
        <v>1.98</v>
      </c>
      <c r="I204" s="38"/>
      <c r="J204" s="38">
        <v>3550</v>
      </c>
      <c r="K204" s="22">
        <v>8</v>
      </c>
      <c r="L204" s="22" t="s">
        <v>214</v>
      </c>
      <c r="M204" s="22"/>
      <c r="N204" s="22"/>
      <c r="O204" s="22"/>
    </row>
    <row r="205" spans="1:15" x14ac:dyDescent="0.25">
      <c r="A205" s="22">
        <v>2016</v>
      </c>
      <c r="B205" s="22" t="s">
        <v>169</v>
      </c>
      <c r="C205" s="22" t="s">
        <v>170</v>
      </c>
      <c r="D205" s="22" t="str">
        <f t="shared" si="7"/>
        <v>2016.Bird9-GPS124</v>
      </c>
      <c r="E205" s="38">
        <v>97.8</v>
      </c>
      <c r="F205" s="38">
        <v>492</v>
      </c>
      <c r="G205" s="38">
        <v>68.400000000000006</v>
      </c>
      <c r="H205" s="38">
        <v>1.38</v>
      </c>
      <c r="I205" s="38"/>
      <c r="J205" s="38">
        <v>2900</v>
      </c>
      <c r="K205" s="22">
        <v>9</v>
      </c>
      <c r="L205" s="22" t="s">
        <v>187</v>
      </c>
      <c r="M205" s="22"/>
      <c r="N205" s="22"/>
      <c r="O205" s="22"/>
    </row>
    <row r="206" spans="1:15" x14ac:dyDescent="0.25">
      <c r="A206" s="22">
        <v>2016</v>
      </c>
      <c r="B206" s="22" t="s">
        <v>171</v>
      </c>
      <c r="C206" s="22" t="s">
        <v>172</v>
      </c>
      <c r="D206" s="22" t="str">
        <f t="shared" si="7"/>
        <v>2016.Bird10-GPS118</v>
      </c>
      <c r="E206" s="38">
        <v>95.7</v>
      </c>
      <c r="F206" s="38">
        <v>486</v>
      </c>
      <c r="G206" s="38">
        <v>64.599999999999994</v>
      </c>
      <c r="H206" s="38">
        <v>1.84</v>
      </c>
      <c r="I206" s="38"/>
      <c r="J206" s="38">
        <v>3150</v>
      </c>
      <c r="K206" s="22">
        <v>10</v>
      </c>
      <c r="L206" s="22" t="s">
        <v>188</v>
      </c>
      <c r="M206" s="22"/>
      <c r="N206" s="22"/>
      <c r="O206" s="22"/>
    </row>
    <row r="207" spans="1:15" x14ac:dyDescent="0.25">
      <c r="A207" s="22">
        <v>2016</v>
      </c>
      <c r="B207" s="22" t="s">
        <v>173</v>
      </c>
      <c r="C207" s="22"/>
      <c r="D207" s="22" t="str">
        <f t="shared" si="7"/>
        <v>2016.Bird11-GPS115</v>
      </c>
      <c r="E207" s="38">
        <v>103.5</v>
      </c>
      <c r="F207" s="38">
        <v>510</v>
      </c>
      <c r="G207" s="38">
        <v>61.3</v>
      </c>
      <c r="H207" s="38">
        <v>1.94</v>
      </c>
      <c r="I207" s="38"/>
      <c r="J207" s="38">
        <v>2750</v>
      </c>
      <c r="K207" s="22">
        <v>11</v>
      </c>
      <c r="L207" s="22" t="s">
        <v>210</v>
      </c>
      <c r="M207" s="22"/>
      <c r="N207" s="22"/>
      <c r="O207" s="22"/>
    </row>
    <row r="208" spans="1:15" x14ac:dyDescent="0.25">
      <c r="A208" s="22">
        <v>2016</v>
      </c>
      <c r="B208" s="22" t="s">
        <v>174</v>
      </c>
      <c r="C208" s="22"/>
      <c r="D208" s="22" t="str">
        <f t="shared" si="7"/>
        <v>2016.Bird12-GPS120</v>
      </c>
      <c r="E208" s="38">
        <v>97.8</v>
      </c>
      <c r="F208" s="38">
        <v>495</v>
      </c>
      <c r="G208" s="38">
        <v>63.2</v>
      </c>
      <c r="H208" s="38">
        <v>1.81</v>
      </c>
      <c r="I208" s="38"/>
      <c r="J208" s="38">
        <v>3050</v>
      </c>
      <c r="K208" s="22">
        <v>12</v>
      </c>
      <c r="L208" s="22" t="s">
        <v>215</v>
      </c>
      <c r="M208" s="22"/>
      <c r="N208" s="22"/>
      <c r="O208" s="22"/>
    </row>
    <row r="209" spans="1:15" x14ac:dyDescent="0.25">
      <c r="A209" s="22">
        <v>2016</v>
      </c>
      <c r="B209" s="22" t="s">
        <v>175</v>
      </c>
      <c r="C209" s="22"/>
      <c r="D209" s="22" t="str">
        <f t="shared" si="7"/>
        <v>2016.Bird13-GPS116</v>
      </c>
      <c r="E209" s="38">
        <v>97.3</v>
      </c>
      <c r="F209" s="38">
        <v>489</v>
      </c>
      <c r="G209" s="38">
        <v>62.2</v>
      </c>
      <c r="H209" s="38">
        <v>1.8</v>
      </c>
      <c r="I209" s="38"/>
      <c r="J209" s="38">
        <v>2550</v>
      </c>
      <c r="K209" s="22">
        <v>13</v>
      </c>
      <c r="L209" s="22" t="s">
        <v>216</v>
      </c>
      <c r="M209" s="22"/>
      <c r="N209" s="22"/>
      <c r="O209" s="22"/>
    </row>
    <row r="210" spans="1:15" x14ac:dyDescent="0.25">
      <c r="A210" s="22">
        <v>2016</v>
      </c>
      <c r="B210" s="22"/>
      <c r="C210" s="22" t="s">
        <v>176</v>
      </c>
      <c r="D210" s="22" t="str">
        <f t="shared" si="7"/>
        <v>2016.Bird14-GPS102</v>
      </c>
      <c r="E210" s="38">
        <v>97.8</v>
      </c>
      <c r="F210" s="38">
        <v>495</v>
      </c>
      <c r="G210" s="38">
        <v>64.900000000000006</v>
      </c>
      <c r="H210" s="38">
        <v>1.94</v>
      </c>
      <c r="I210" s="38"/>
      <c r="J210" s="38">
        <v>3300</v>
      </c>
      <c r="K210" s="22">
        <v>14</v>
      </c>
      <c r="L210" s="22" t="s">
        <v>217</v>
      </c>
      <c r="M210" s="22"/>
      <c r="N210" s="22"/>
      <c r="O210" s="22"/>
    </row>
    <row r="211" spans="1:15" x14ac:dyDescent="0.25">
      <c r="A211" s="22">
        <v>2016</v>
      </c>
      <c r="B211" s="22" t="s">
        <v>177</v>
      </c>
      <c r="C211" s="22"/>
      <c r="D211" s="22" t="str">
        <f t="shared" si="7"/>
        <v>2016.Bird15-GPS123</v>
      </c>
      <c r="E211" s="38">
        <v>105</v>
      </c>
      <c r="F211" s="38">
        <v>502</v>
      </c>
      <c r="G211" s="38">
        <v>69.7</v>
      </c>
      <c r="H211" s="38">
        <v>1.77</v>
      </c>
      <c r="I211" s="38"/>
      <c r="J211" s="38">
        <v>2750</v>
      </c>
      <c r="K211" s="22">
        <v>15</v>
      </c>
      <c r="L211" s="22" t="s">
        <v>218</v>
      </c>
      <c r="M211" s="22"/>
      <c r="N211" s="22"/>
      <c r="O211" s="22"/>
    </row>
    <row r="212" spans="1:15" x14ac:dyDescent="0.25">
      <c r="A212" s="22">
        <v>2016</v>
      </c>
      <c r="B212" s="22"/>
      <c r="C212" s="22" t="s">
        <v>178</v>
      </c>
      <c r="D212" s="22" t="str">
        <f t="shared" si="7"/>
        <v>2016.Bird16-GPS104</v>
      </c>
      <c r="E212" s="38">
        <v>100.6</v>
      </c>
      <c r="F212" s="38">
        <v>514</v>
      </c>
      <c r="G212" s="38">
        <v>70.7</v>
      </c>
      <c r="H212" s="38">
        <v>1.57</v>
      </c>
      <c r="I212" s="38"/>
      <c r="J212" s="38">
        <v>3150</v>
      </c>
      <c r="K212" s="22">
        <v>16</v>
      </c>
      <c r="L212" s="22" t="s">
        <v>189</v>
      </c>
      <c r="M212" s="22"/>
      <c r="N212" s="22"/>
      <c r="O212" s="22"/>
    </row>
    <row r="213" spans="1:15" x14ac:dyDescent="0.25">
      <c r="A213" s="22">
        <v>2016</v>
      </c>
      <c r="B213" s="22" t="s">
        <v>179</v>
      </c>
      <c r="C213" s="22"/>
      <c r="D213" s="22" t="str">
        <f t="shared" si="7"/>
        <v>2016.Bird17-GPS125</v>
      </c>
      <c r="E213" s="38">
        <v>108</v>
      </c>
      <c r="F213" s="38">
        <v>505</v>
      </c>
      <c r="G213" s="38">
        <v>69</v>
      </c>
      <c r="H213" s="38">
        <v>1.73</v>
      </c>
      <c r="I213" s="38"/>
      <c r="J213" s="38">
        <v>2625</v>
      </c>
      <c r="K213" s="22">
        <v>17</v>
      </c>
      <c r="L213" s="22" t="s">
        <v>219</v>
      </c>
      <c r="M213" s="22"/>
      <c r="N213" s="22"/>
      <c r="O213" s="22"/>
    </row>
    <row r="214" spans="1:15" x14ac:dyDescent="0.25">
      <c r="A214" s="22">
        <v>2016</v>
      </c>
      <c r="B214" s="22" t="s">
        <v>180</v>
      </c>
      <c r="C214" s="22"/>
      <c r="D214" s="22" t="str">
        <f t="shared" si="7"/>
        <v>2016.Bird18-GPS100</v>
      </c>
      <c r="E214" s="38">
        <v>91</v>
      </c>
      <c r="F214" s="38">
        <v>505</v>
      </c>
      <c r="G214" s="38">
        <v>66</v>
      </c>
      <c r="H214" s="38">
        <v>1.5</v>
      </c>
      <c r="I214" s="38"/>
      <c r="J214" s="38">
        <v>2600</v>
      </c>
      <c r="K214" s="22">
        <v>18</v>
      </c>
      <c r="L214" s="22" t="s">
        <v>220</v>
      </c>
      <c r="M214" s="22"/>
      <c r="N214" s="22"/>
      <c r="O214" s="22"/>
    </row>
    <row r="215" spans="1:15" x14ac:dyDescent="0.25">
      <c r="A215" s="22">
        <v>2016</v>
      </c>
      <c r="B215" s="22" t="s">
        <v>181</v>
      </c>
      <c r="C215" s="22"/>
      <c r="D215" s="22" t="str">
        <f t="shared" si="7"/>
        <v>2016.Bird20-GPS108</v>
      </c>
      <c r="E215" s="38">
        <v>91.6</v>
      </c>
      <c r="F215" s="38">
        <v>499</v>
      </c>
      <c r="G215" s="38">
        <v>60.7</v>
      </c>
      <c r="H215" s="38">
        <v>1.71</v>
      </c>
      <c r="I215" s="38"/>
      <c r="J215" s="38">
        <v>2850</v>
      </c>
      <c r="K215" s="22">
        <v>20</v>
      </c>
      <c r="L215" s="22" t="s">
        <v>221</v>
      </c>
      <c r="M215" s="22"/>
      <c r="N215" s="22"/>
      <c r="O215" s="22"/>
    </row>
    <row r="216" spans="1:15" x14ac:dyDescent="0.25">
      <c r="A216" s="12">
        <v>2023</v>
      </c>
      <c r="B216" s="12" t="s">
        <v>327</v>
      </c>
      <c r="C216" s="12" t="s">
        <v>301</v>
      </c>
      <c r="D216" s="12">
        <v>233663</v>
      </c>
      <c r="E216" s="35">
        <v>99.9</v>
      </c>
      <c r="F216" s="35">
        <v>485</v>
      </c>
      <c r="G216" s="35">
        <v>63.3</v>
      </c>
      <c r="H216" s="35"/>
      <c r="I216" s="35" t="s">
        <v>14</v>
      </c>
      <c r="J216" s="35">
        <v>2900</v>
      </c>
      <c r="K216" s="12"/>
      <c r="L216" s="12"/>
      <c r="M216" s="39">
        <v>1</v>
      </c>
      <c r="N216" s="12"/>
      <c r="O216" s="12"/>
    </row>
    <row r="217" spans="1:15" x14ac:dyDescent="0.25">
      <c r="A217" s="12">
        <v>2023</v>
      </c>
      <c r="B217" s="12" t="s">
        <v>328</v>
      </c>
      <c r="C217" s="12" t="s">
        <v>302</v>
      </c>
      <c r="D217" s="12">
        <v>233665</v>
      </c>
      <c r="E217" s="35">
        <v>97</v>
      </c>
      <c r="F217" s="35">
        <v>488</v>
      </c>
      <c r="G217" s="35">
        <v>63.5</v>
      </c>
      <c r="H217" s="35"/>
      <c r="I217" s="35" t="s">
        <v>15</v>
      </c>
      <c r="J217" s="35">
        <v>3050</v>
      </c>
      <c r="K217" s="12"/>
      <c r="L217" s="12"/>
      <c r="M217" s="39">
        <v>1</v>
      </c>
      <c r="N217" s="12"/>
      <c r="O217" s="12"/>
    </row>
    <row r="218" spans="1:15" x14ac:dyDescent="0.25">
      <c r="A218" s="12">
        <v>2023</v>
      </c>
      <c r="B218" s="12" t="s">
        <v>329</v>
      </c>
      <c r="C218" s="12" t="s">
        <v>303</v>
      </c>
      <c r="D218" s="12">
        <v>233667</v>
      </c>
      <c r="E218" s="35">
        <v>98</v>
      </c>
      <c r="F218" s="35">
        <v>505</v>
      </c>
      <c r="G218" s="35">
        <v>66</v>
      </c>
      <c r="H218" s="35"/>
      <c r="I218" s="35" t="s">
        <v>15</v>
      </c>
      <c r="J218" s="35">
        <v>3250</v>
      </c>
      <c r="K218" s="12"/>
      <c r="L218" s="12"/>
      <c r="M218" s="39">
        <v>1</v>
      </c>
      <c r="N218" s="12"/>
      <c r="O218" s="12"/>
    </row>
    <row r="219" spans="1:15" x14ac:dyDescent="0.25">
      <c r="A219" s="12">
        <v>2023</v>
      </c>
      <c r="B219" s="12" t="s">
        <v>300</v>
      </c>
      <c r="C219" s="12" t="s">
        <v>304</v>
      </c>
      <c r="D219" s="12">
        <v>233664</v>
      </c>
      <c r="E219" s="35">
        <v>99.8</v>
      </c>
      <c r="F219" s="35">
        <v>550</v>
      </c>
      <c r="G219" s="35">
        <v>64.400000000000006</v>
      </c>
      <c r="H219" s="35"/>
      <c r="I219" s="35" t="s">
        <v>14</v>
      </c>
      <c r="J219" s="35">
        <v>3500</v>
      </c>
      <c r="K219" s="12"/>
      <c r="L219" s="12"/>
      <c r="M219" s="39">
        <v>1</v>
      </c>
      <c r="N219" s="12"/>
      <c r="O219" s="12"/>
    </row>
    <row r="220" spans="1:15" x14ac:dyDescent="0.25">
      <c r="A220" s="12">
        <v>2023</v>
      </c>
      <c r="B220" s="12" t="s">
        <v>330</v>
      </c>
      <c r="C220" s="12" t="s">
        <v>305</v>
      </c>
      <c r="D220" s="12">
        <v>233660</v>
      </c>
      <c r="E220" s="35">
        <v>102.9</v>
      </c>
      <c r="F220" s="35">
        <v>493</v>
      </c>
      <c r="G220" s="35">
        <v>67.7</v>
      </c>
      <c r="H220" s="35"/>
      <c r="I220" s="35" t="s">
        <v>15</v>
      </c>
      <c r="J220" s="35">
        <v>2750</v>
      </c>
      <c r="K220" s="12"/>
      <c r="L220" s="12"/>
      <c r="M220" s="39">
        <v>1</v>
      </c>
      <c r="N220" s="12"/>
      <c r="O220" s="12"/>
    </row>
    <row r="221" spans="1:15" x14ac:dyDescent="0.25">
      <c r="A221" s="12">
        <v>2023</v>
      </c>
      <c r="B221" s="12" t="s">
        <v>331</v>
      </c>
      <c r="C221" s="12" t="s">
        <v>306</v>
      </c>
      <c r="D221" s="12">
        <v>233668</v>
      </c>
      <c r="E221" s="35">
        <v>96</v>
      </c>
      <c r="F221" s="35">
        <v>491</v>
      </c>
      <c r="G221" s="35">
        <v>69</v>
      </c>
      <c r="H221" s="35"/>
      <c r="I221" s="35" t="s">
        <v>14</v>
      </c>
      <c r="J221" s="35">
        <v>3150</v>
      </c>
      <c r="K221" s="12"/>
      <c r="L221" s="12"/>
      <c r="M221" s="39">
        <v>0</v>
      </c>
      <c r="N221" s="12"/>
      <c r="O221" s="12"/>
    </row>
    <row r="222" spans="1:15" x14ac:dyDescent="0.25">
      <c r="A222" s="12">
        <v>2023</v>
      </c>
      <c r="B222" s="12" t="s">
        <v>332</v>
      </c>
      <c r="C222" s="12" t="s">
        <v>307</v>
      </c>
      <c r="D222" s="12">
        <v>233666</v>
      </c>
      <c r="E222" s="35">
        <v>100</v>
      </c>
      <c r="F222" s="35">
        <v>497</v>
      </c>
      <c r="G222" s="35">
        <v>65</v>
      </c>
      <c r="H222" s="35"/>
      <c r="I222" s="35" t="s">
        <v>15</v>
      </c>
      <c r="J222" s="35">
        <v>3150</v>
      </c>
      <c r="K222" s="12"/>
      <c r="L222" s="12"/>
      <c r="M222" s="39">
        <v>1</v>
      </c>
      <c r="N222" s="12"/>
      <c r="O222" s="12"/>
    </row>
    <row r="223" spans="1:15" x14ac:dyDescent="0.25">
      <c r="A223" s="12">
        <v>2023</v>
      </c>
      <c r="B223" s="12" t="s">
        <v>333</v>
      </c>
      <c r="C223" s="12" t="s">
        <v>308</v>
      </c>
      <c r="D223" s="12">
        <v>233670</v>
      </c>
      <c r="E223" s="35">
        <v>103.2</v>
      </c>
      <c r="F223" s="35">
        <v>495</v>
      </c>
      <c r="G223" s="35">
        <v>63</v>
      </c>
      <c r="H223" s="35"/>
      <c r="I223" s="35" t="s">
        <v>15</v>
      </c>
      <c r="J223" s="35">
        <v>2800</v>
      </c>
      <c r="K223" s="12"/>
      <c r="L223" s="12"/>
      <c r="M223" s="39">
        <v>1</v>
      </c>
      <c r="N223" s="12"/>
      <c r="O223" s="12"/>
    </row>
    <row r="224" spans="1:15" x14ac:dyDescent="0.25">
      <c r="A224" s="12">
        <v>2023</v>
      </c>
      <c r="B224" s="12" t="s">
        <v>334</v>
      </c>
      <c r="C224" s="12" t="s">
        <v>309</v>
      </c>
      <c r="D224" s="12">
        <v>233669</v>
      </c>
      <c r="E224" s="35">
        <v>101.3</v>
      </c>
      <c r="F224" s="35">
        <v>498</v>
      </c>
      <c r="G224" s="35">
        <v>64.900000000000006</v>
      </c>
      <c r="H224" s="35"/>
      <c r="I224" s="35" t="s">
        <v>14</v>
      </c>
      <c r="J224" s="35">
        <v>3500</v>
      </c>
      <c r="K224" s="12"/>
      <c r="L224" s="12"/>
      <c r="M224" s="39">
        <v>0</v>
      </c>
      <c r="N224" s="12"/>
      <c r="O224" s="12"/>
    </row>
    <row r="225" spans="1:15" x14ac:dyDescent="0.25">
      <c r="A225" s="12">
        <v>2023</v>
      </c>
      <c r="B225" s="12" t="s">
        <v>335</v>
      </c>
      <c r="C225" s="12" t="s">
        <v>310</v>
      </c>
      <c r="D225" s="12">
        <v>233671</v>
      </c>
      <c r="E225" s="35">
        <v>99.3</v>
      </c>
      <c r="F225" s="35">
        <v>506</v>
      </c>
      <c r="G225" s="35">
        <v>61.9</v>
      </c>
      <c r="H225" s="35"/>
      <c r="I225" s="35" t="s">
        <v>15</v>
      </c>
      <c r="J225" s="35">
        <v>3300</v>
      </c>
      <c r="K225" s="12"/>
      <c r="L225" s="12"/>
      <c r="M225" s="39">
        <v>0</v>
      </c>
      <c r="N225" s="12"/>
      <c r="O225" s="12"/>
    </row>
    <row r="226" spans="1:15" x14ac:dyDescent="0.25">
      <c r="A226" s="12">
        <v>2023</v>
      </c>
      <c r="B226" s="12" t="s">
        <v>336</v>
      </c>
      <c r="C226" s="12" t="s">
        <v>311</v>
      </c>
      <c r="D226" s="12">
        <v>233672</v>
      </c>
      <c r="E226" s="35">
        <v>97.3</v>
      </c>
      <c r="F226" s="35">
        <v>490</v>
      </c>
      <c r="G226" s="35">
        <v>64.400000000000006</v>
      </c>
      <c r="H226" s="35"/>
      <c r="I226" s="35" t="s">
        <v>15</v>
      </c>
      <c r="J226" s="35">
        <v>3150</v>
      </c>
      <c r="K226" s="12"/>
      <c r="L226" s="12"/>
      <c r="M226" s="39">
        <v>0</v>
      </c>
      <c r="N226" s="12"/>
      <c r="O226" s="12"/>
    </row>
    <row r="227" spans="1:15" x14ac:dyDescent="0.25">
      <c r="A227" s="12">
        <v>2023</v>
      </c>
      <c r="B227" s="12" t="s">
        <v>337</v>
      </c>
      <c r="C227" s="12" t="s">
        <v>312</v>
      </c>
      <c r="D227" s="12">
        <v>233658</v>
      </c>
      <c r="E227" s="35">
        <v>96.3</v>
      </c>
      <c r="F227" s="35">
        <v>502</v>
      </c>
      <c r="G227" s="35">
        <v>60.9</v>
      </c>
      <c r="H227" s="35"/>
      <c r="I227" s="35" t="s">
        <v>14</v>
      </c>
      <c r="J227" s="35">
        <v>3200</v>
      </c>
      <c r="K227" s="12"/>
      <c r="L227" s="12"/>
      <c r="M227" s="39">
        <v>0</v>
      </c>
      <c r="N227" s="12"/>
      <c r="O227" s="12"/>
    </row>
    <row r="228" spans="1:15" x14ac:dyDescent="0.25">
      <c r="A228" s="12">
        <v>2023</v>
      </c>
      <c r="B228" s="12" t="s">
        <v>338</v>
      </c>
      <c r="C228" s="12" t="s">
        <v>313</v>
      </c>
      <c r="D228" s="12">
        <v>233659</v>
      </c>
      <c r="E228" s="35">
        <v>107.4</v>
      </c>
      <c r="F228" s="35">
        <v>493</v>
      </c>
      <c r="G228" s="35">
        <v>64.5</v>
      </c>
      <c r="H228" s="35"/>
      <c r="I228" s="35" t="s">
        <v>14</v>
      </c>
      <c r="J228" s="35">
        <v>3000</v>
      </c>
      <c r="K228" s="12"/>
      <c r="L228" s="12"/>
      <c r="M228" s="39">
        <v>0</v>
      </c>
      <c r="N228" s="12"/>
      <c r="O228" s="12"/>
    </row>
    <row r="229" spans="1:15" x14ac:dyDescent="0.25">
      <c r="A229" s="12">
        <v>2023</v>
      </c>
      <c r="B229" s="12" t="s">
        <v>339</v>
      </c>
      <c r="C229" s="12" t="s">
        <v>314</v>
      </c>
      <c r="D229" s="12">
        <v>233662</v>
      </c>
      <c r="E229" s="35">
        <v>93</v>
      </c>
      <c r="F229" s="35">
        <v>486</v>
      </c>
      <c r="G229" s="35">
        <v>82.1</v>
      </c>
      <c r="H229" s="35"/>
      <c r="I229" s="35" t="s">
        <v>15</v>
      </c>
      <c r="J229" s="35">
        <v>3150</v>
      </c>
      <c r="K229" s="12"/>
      <c r="L229" s="12"/>
      <c r="M229" s="39">
        <v>0</v>
      </c>
      <c r="N229" s="12"/>
      <c r="O229" s="12"/>
    </row>
    <row r="230" spans="1:15" x14ac:dyDescent="0.25">
      <c r="A230" s="12">
        <v>2023</v>
      </c>
      <c r="B230" s="12" t="s">
        <v>340</v>
      </c>
      <c r="C230" s="12" t="s">
        <v>315</v>
      </c>
      <c r="D230" s="12">
        <v>222450</v>
      </c>
      <c r="E230" s="35">
        <v>97.9</v>
      </c>
      <c r="F230" s="35">
        <v>483</v>
      </c>
      <c r="G230" s="35">
        <v>62.6</v>
      </c>
      <c r="H230" s="35"/>
      <c r="I230" s="35" t="s">
        <v>14</v>
      </c>
      <c r="J230" s="35">
        <v>2650</v>
      </c>
      <c r="K230" s="12"/>
      <c r="L230" s="12"/>
      <c r="M230" s="39">
        <v>0</v>
      </c>
      <c r="N230" s="12"/>
      <c r="O230" s="12"/>
    </row>
    <row r="231" spans="1:15" x14ac:dyDescent="0.25">
      <c r="A231" s="12">
        <v>2023</v>
      </c>
      <c r="B231" s="12" t="s">
        <v>341</v>
      </c>
      <c r="C231" s="12" t="s">
        <v>316</v>
      </c>
      <c r="D231" s="12">
        <v>233661</v>
      </c>
      <c r="E231" s="35">
        <v>99.3</v>
      </c>
      <c r="F231" s="35">
        <v>480</v>
      </c>
      <c r="G231" s="35">
        <v>57.9</v>
      </c>
      <c r="H231" s="35"/>
      <c r="I231" s="35" t="s">
        <v>15</v>
      </c>
      <c r="J231" s="35">
        <v>2650</v>
      </c>
      <c r="K231" s="12"/>
      <c r="L231" s="12"/>
      <c r="M231" s="39">
        <v>1</v>
      </c>
      <c r="N231" s="12"/>
      <c r="O231" s="12"/>
    </row>
    <row r="232" spans="1:15" x14ac:dyDescent="0.25">
      <c r="A232" s="12">
        <v>2023</v>
      </c>
      <c r="B232" s="12" t="s">
        <v>342</v>
      </c>
      <c r="C232" s="12" t="s">
        <v>317</v>
      </c>
      <c r="D232" s="12">
        <v>235195</v>
      </c>
      <c r="E232" s="35">
        <v>99.9</v>
      </c>
      <c r="F232" s="35">
        <v>496</v>
      </c>
      <c r="G232" s="35">
        <v>66.7</v>
      </c>
      <c r="H232" s="35"/>
      <c r="I232" s="35" t="s">
        <v>15</v>
      </c>
      <c r="J232" s="35">
        <v>3350</v>
      </c>
      <c r="K232" s="12"/>
      <c r="L232" s="12"/>
      <c r="M232" s="39">
        <v>1</v>
      </c>
      <c r="N232" s="12"/>
      <c r="O232" s="12"/>
    </row>
    <row r="233" spans="1:15" x14ac:dyDescent="0.25">
      <c r="A233" s="12">
        <v>2023</v>
      </c>
      <c r="B233" s="12" t="s">
        <v>343</v>
      </c>
      <c r="C233" s="12" t="s">
        <v>318</v>
      </c>
      <c r="D233" s="12">
        <v>235197</v>
      </c>
      <c r="E233" s="35">
        <v>100</v>
      </c>
      <c r="F233" s="35">
        <v>494</v>
      </c>
      <c r="G233" s="35">
        <v>62.9</v>
      </c>
      <c r="H233" s="35"/>
      <c r="I233" s="35" t="s">
        <v>15</v>
      </c>
      <c r="J233" s="35">
        <v>2950</v>
      </c>
      <c r="K233" s="12"/>
      <c r="L233" s="12"/>
      <c r="M233" s="39">
        <v>0</v>
      </c>
      <c r="N233" s="12"/>
      <c r="O233" s="12"/>
    </row>
    <row r="234" spans="1:15" x14ac:dyDescent="0.25">
      <c r="A234" s="12">
        <v>2023</v>
      </c>
      <c r="B234" s="12" t="s">
        <v>344</v>
      </c>
      <c r="C234" s="12" t="s">
        <v>319</v>
      </c>
      <c r="D234" s="12">
        <v>235199</v>
      </c>
      <c r="E234" s="35">
        <v>100.4</v>
      </c>
      <c r="F234" s="35">
        <v>503</v>
      </c>
      <c r="G234" s="35">
        <v>63.2</v>
      </c>
      <c r="H234" s="35"/>
      <c r="I234" s="35" t="s">
        <v>15</v>
      </c>
      <c r="J234" s="35">
        <v>2600</v>
      </c>
      <c r="K234" s="12"/>
      <c r="L234" s="12"/>
      <c r="M234" s="39">
        <v>1</v>
      </c>
      <c r="N234" s="12"/>
      <c r="O234" s="12"/>
    </row>
    <row r="235" spans="1:15" x14ac:dyDescent="0.25">
      <c r="A235" s="12">
        <v>2023</v>
      </c>
      <c r="B235" s="12" t="s">
        <v>345</v>
      </c>
      <c r="C235" s="12" t="s">
        <v>320</v>
      </c>
      <c r="D235" s="12">
        <v>235200</v>
      </c>
      <c r="E235" s="35">
        <v>98.1</v>
      </c>
      <c r="F235" s="35">
        <v>504</v>
      </c>
      <c r="G235" s="35">
        <v>64.8</v>
      </c>
      <c r="H235" s="35"/>
      <c r="I235" s="35" t="s">
        <v>14</v>
      </c>
      <c r="J235" s="35">
        <v>3400</v>
      </c>
      <c r="K235" s="12"/>
      <c r="L235" s="12"/>
      <c r="M235" s="39">
        <v>1</v>
      </c>
      <c r="N235" s="12"/>
      <c r="O235" s="12"/>
    </row>
    <row r="236" spans="1:15" x14ac:dyDescent="0.25">
      <c r="A236" s="12">
        <v>2023</v>
      </c>
      <c r="B236" s="12" t="s">
        <v>346</v>
      </c>
      <c r="C236" s="12" t="s">
        <v>321</v>
      </c>
      <c r="D236" s="12">
        <v>235201</v>
      </c>
      <c r="E236" s="35">
        <v>100.5</v>
      </c>
      <c r="F236" s="35">
        <v>502</v>
      </c>
      <c r="G236" s="35">
        <v>64.7</v>
      </c>
      <c r="H236" s="35"/>
      <c r="I236" s="35" t="s">
        <v>14</v>
      </c>
      <c r="J236" s="35">
        <v>2800</v>
      </c>
      <c r="K236" s="12"/>
      <c r="L236" s="12"/>
      <c r="M236" s="39">
        <v>0</v>
      </c>
      <c r="N236" s="12"/>
      <c r="O236" s="12"/>
    </row>
    <row r="237" spans="1:15" x14ac:dyDescent="0.25">
      <c r="A237" s="12">
        <v>2023</v>
      </c>
      <c r="B237" s="12" t="s">
        <v>347</v>
      </c>
      <c r="C237" s="12" t="s">
        <v>322</v>
      </c>
      <c r="D237" s="12">
        <v>235202</v>
      </c>
      <c r="E237" s="35">
        <v>97.6</v>
      </c>
      <c r="F237" s="35">
        <v>494</v>
      </c>
      <c r="G237" s="35">
        <v>63.1</v>
      </c>
      <c r="H237" s="35"/>
      <c r="I237" s="35" t="s">
        <v>14</v>
      </c>
      <c r="J237" s="35">
        <v>2900</v>
      </c>
      <c r="K237" s="12"/>
      <c r="L237" s="12"/>
      <c r="M237" s="39">
        <v>0</v>
      </c>
      <c r="N237" s="12"/>
      <c r="O237" s="12"/>
    </row>
    <row r="238" spans="1:15" x14ac:dyDescent="0.25">
      <c r="A238" s="12">
        <v>2023</v>
      </c>
      <c r="B238" s="12" t="s">
        <v>348</v>
      </c>
      <c r="C238" s="12" t="s">
        <v>323</v>
      </c>
      <c r="D238" s="12">
        <v>235203</v>
      </c>
      <c r="E238" s="35">
        <v>96.4</v>
      </c>
      <c r="F238" s="35">
        <v>500</v>
      </c>
      <c r="G238" s="35">
        <v>62.1</v>
      </c>
      <c r="H238" s="35"/>
      <c r="I238" s="35" t="s">
        <v>14</v>
      </c>
      <c r="J238" s="35">
        <v>2900</v>
      </c>
      <c r="K238" s="12"/>
      <c r="L238" s="12"/>
      <c r="M238" s="39">
        <v>1</v>
      </c>
      <c r="N238" s="12"/>
      <c r="O238" s="12"/>
    </row>
    <row r="239" spans="1:15" x14ac:dyDescent="0.25">
      <c r="A239" s="12">
        <v>2023</v>
      </c>
      <c r="B239" s="12" t="s">
        <v>349</v>
      </c>
      <c r="C239" s="12" t="s">
        <v>324</v>
      </c>
      <c r="D239" s="12">
        <v>235204</v>
      </c>
      <c r="E239" s="35">
        <v>97.5</v>
      </c>
      <c r="F239" s="35">
        <v>485</v>
      </c>
      <c r="G239" s="35">
        <v>62.2</v>
      </c>
      <c r="H239" s="35"/>
      <c r="I239" s="35" t="s">
        <v>15</v>
      </c>
      <c r="J239" s="35">
        <v>2500</v>
      </c>
      <c r="K239" s="12"/>
      <c r="L239" s="12"/>
      <c r="M239" s="39">
        <v>0</v>
      </c>
      <c r="N239" s="12"/>
      <c r="O239" s="12"/>
    </row>
    <row r="240" spans="1:15" x14ac:dyDescent="0.25">
      <c r="A240" s="12">
        <v>2023</v>
      </c>
      <c r="B240" s="12" t="s">
        <v>350</v>
      </c>
      <c r="C240" s="12" t="s">
        <v>325</v>
      </c>
      <c r="D240" s="12">
        <v>222289</v>
      </c>
      <c r="E240" s="35">
        <v>106.6</v>
      </c>
      <c r="F240" s="35">
        <v>498</v>
      </c>
      <c r="G240" s="35">
        <v>58.4</v>
      </c>
      <c r="H240" s="35"/>
      <c r="I240" s="35" t="s">
        <v>15</v>
      </c>
      <c r="J240" s="35">
        <v>2750</v>
      </c>
      <c r="K240" s="12"/>
      <c r="L240" s="12"/>
      <c r="M240" s="39">
        <v>1</v>
      </c>
      <c r="N240" s="12"/>
      <c r="O240" s="12"/>
    </row>
    <row r="241" spans="1:15" x14ac:dyDescent="0.25">
      <c r="A241" s="12">
        <v>2023</v>
      </c>
      <c r="B241" s="12" t="s">
        <v>351</v>
      </c>
      <c r="C241" s="12" t="s">
        <v>326</v>
      </c>
      <c r="D241" s="12">
        <v>201284</v>
      </c>
      <c r="E241" s="35">
        <v>95</v>
      </c>
      <c r="F241" s="35">
        <v>479</v>
      </c>
      <c r="G241" s="35">
        <v>60.7</v>
      </c>
      <c r="H241" s="35"/>
      <c r="I241" s="35" t="s">
        <v>14</v>
      </c>
      <c r="J241" s="35">
        <v>2550</v>
      </c>
      <c r="K241" s="12"/>
      <c r="L241" s="12"/>
      <c r="M241" s="39">
        <v>1</v>
      </c>
      <c r="N241" s="12"/>
      <c r="O241" s="12"/>
    </row>
  </sheetData>
  <conditionalFormatting sqref="C1:C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E5A1-0763-467A-992F-C5624486C742}">
  <dimension ref="A1"/>
  <sheetViews>
    <sheetView workbookViewId="0">
      <selection sqref="A1:U1048576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2024-03-19T12:20:50Z</dcterms:created>
  <dcterms:modified xsi:type="dcterms:W3CDTF">2024-05-16T16:34:42Z</dcterms:modified>
</cp:coreProperties>
</file>