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nchon\Nextcloud\Aurore\Projects\NorthernGannets2023\Analysis\NorthernGannets2023\data\RawData\"/>
    </mc:Choice>
  </mc:AlternateContent>
  <xr:revisionPtr revIDLastSave="0" documentId="13_ncr:1_{C9581ECA-3C54-4972-B16E-7FE84DB65F4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eneral_info" sheetId="2" r:id="rId1"/>
    <sheet name="capture_data" sheetId="1" r:id="rId2"/>
    <sheet name="monitoring" sheetId="3" r:id="rId3"/>
    <sheet name="lecture_bague" sheetId="5" r:id="rId4"/>
    <sheet name="comptage" sheetId="4" r:id="rId5"/>
  </sheets>
  <definedNames>
    <definedName name="_xlnm._FilterDatabase" localSheetId="1" hidden="1">capture_data!$A$1:$AL$48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7" i="1"/>
  <c r="Q39" i="1"/>
  <c r="Q41" i="1"/>
  <c r="Q42" i="1"/>
  <c r="Q43" i="1"/>
  <c r="Q44" i="1"/>
  <c r="Q45" i="1"/>
  <c r="Q46" i="1"/>
  <c r="Q47" i="1"/>
  <c r="Q48" i="1"/>
  <c r="Q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2" i="1"/>
</calcChain>
</file>

<file path=xl/sharedStrings.xml><?xml version="1.0" encoding="utf-8"?>
<sst xmlns="http://schemas.openxmlformats.org/spreadsheetml/2006/main" count="1663" uniqueCount="306">
  <si>
    <t>species</t>
  </si>
  <si>
    <t>colony</t>
  </si>
  <si>
    <t>date</t>
  </si>
  <si>
    <t>hour_capture</t>
  </si>
  <si>
    <t>darvic</t>
  </si>
  <si>
    <t>mark_temp</t>
  </si>
  <si>
    <t>stage</t>
  </si>
  <si>
    <t>trapping</t>
  </si>
  <si>
    <t>ringer</t>
  </si>
  <si>
    <t>comment</t>
  </si>
  <si>
    <t>plasma</t>
  </si>
  <si>
    <t>RBC</t>
  </si>
  <si>
    <t>northern_gannet</t>
  </si>
  <si>
    <t>rouzic</t>
  </si>
  <si>
    <t>BRX</t>
  </si>
  <si>
    <t>adult</t>
  </si>
  <si>
    <t>age_chick (weeks)</t>
  </si>
  <si>
    <t>head hook</t>
  </si>
  <si>
    <t>swab_cloac_amies_rose</t>
  </si>
  <si>
    <t>GLS</t>
  </si>
  <si>
    <t>feather</t>
  </si>
  <si>
    <t>P1/P10/body</t>
  </si>
  <si>
    <t>sexe</t>
  </si>
  <si>
    <t>F</t>
  </si>
  <si>
    <t>global_behaviour</t>
  </si>
  <si>
    <t>left_eye_color</t>
  </si>
  <si>
    <t>right_eye_color</t>
  </si>
  <si>
    <t>white</t>
  </si>
  <si>
    <t>dark</t>
  </si>
  <si>
    <t>pelagic fish</t>
  </si>
  <si>
    <t>BRY</t>
  </si>
  <si>
    <t>4-5</t>
  </si>
  <si>
    <t>BUA</t>
  </si>
  <si>
    <t>BUV</t>
  </si>
  <si>
    <t>spotted</t>
  </si>
  <si>
    <t>sardines</t>
  </si>
  <si>
    <t>BUB</t>
  </si>
  <si>
    <t>BUE</t>
  </si>
  <si>
    <t>BUY</t>
  </si>
  <si>
    <t>BUC</t>
  </si>
  <si>
    <t>BUX</t>
  </si>
  <si>
    <t>NA</t>
  </si>
  <si>
    <t>BUT</t>
  </si>
  <si>
    <t>BUS</t>
  </si>
  <si>
    <t>M</t>
  </si>
  <si>
    <t>BUF</t>
  </si>
  <si>
    <t>BUN</t>
  </si>
  <si>
    <t>BUM</t>
  </si>
  <si>
    <t>BUG</t>
  </si>
  <si>
    <t>&lt; 4 years</t>
  </si>
  <si>
    <t>GPS_darvic</t>
  </si>
  <si>
    <t>BUQ</t>
  </si>
  <si>
    <t>undefined</t>
  </si>
  <si>
    <t>.</t>
  </si>
  <si>
    <t>3-4</t>
  </si>
  <si>
    <t>blue marker</t>
  </si>
  <si>
    <t>BUH</t>
  </si>
  <si>
    <t>5-6</t>
  </si>
  <si>
    <t>BUK</t>
  </si>
  <si>
    <t>BUZ</t>
  </si>
  <si>
    <t>BUR</t>
  </si>
  <si>
    <t>recapturé pour deséquipement GSM le 06/07/2023 (echec repro)</t>
  </si>
  <si>
    <t>regurgitate</t>
  </si>
  <si>
    <t>gadidea</t>
  </si>
  <si>
    <t>ML</t>
  </si>
  <si>
    <t>DG</t>
  </si>
  <si>
    <t>area</t>
  </si>
  <si>
    <t>obs1</t>
  </si>
  <si>
    <t>obs2</t>
  </si>
  <si>
    <t>obs3</t>
  </si>
  <si>
    <t>obs4</t>
  </si>
  <si>
    <t>Lannion</t>
  </si>
  <si>
    <t>TM</t>
  </si>
  <si>
    <t xml:space="preserve">arrivée à Lannion </t>
  </si>
  <si>
    <t>île Grande</t>
  </si>
  <si>
    <t>PP</t>
  </si>
  <si>
    <t>Rouzic</t>
  </si>
  <si>
    <t>courses pour la mission et préparation du matériel à la station LPO/Radome + arrivée de David Grémillet</t>
  </si>
  <si>
    <t>captures de 8 individus équipement GSM+GLS. Fin des poses de GLS</t>
  </si>
  <si>
    <t>départ pour Rouzic, installation du matériel, captures de 6 individus équipement GSM+GLS</t>
  </si>
  <si>
    <t>équipement de 2 individus avec GPS montés sur Darvic + début du monitoring : lot témoin bagués non capturés VS lot capturés et équipés-GSM VS lot capturés non équipés</t>
  </si>
  <si>
    <t>PP/DG/TM/ML</t>
  </si>
  <si>
    <t>PP/ML/TM</t>
  </si>
  <si>
    <t>RBC_on_FTA_card</t>
  </si>
  <si>
    <t>blood_EtOH_Arctox</t>
  </si>
  <si>
    <t>équipements de 2 individus avec GPS montés sur Darvic + déséquipement GPS-GSM individu NGA009 + monitoring</t>
  </si>
  <si>
    <t>équipements de 2 individus avec GPS montés sur Darvic + monitoring</t>
  </si>
  <si>
    <t>départ de Rouzic fin de matinée : dépôt du matériel (caisse alu; longue vue; bouteilles de gaz vides) au Radome et congélation des prélèvements à la station LPO</t>
  </si>
  <si>
    <t>Code</t>
  </si>
  <si>
    <t>Pascal Provost</t>
  </si>
  <si>
    <t>David Gremillet</t>
  </si>
  <si>
    <t>Tristan Martin</t>
  </si>
  <si>
    <t>Mathilde Lejeune</t>
  </si>
  <si>
    <t>NGA</t>
  </si>
  <si>
    <t>northern gannet</t>
  </si>
  <si>
    <t>RZC</t>
  </si>
  <si>
    <t>code_sample</t>
  </si>
  <si>
    <t>RZC23-NGA-001</t>
  </si>
  <si>
    <t>RZC23-NGA-002</t>
  </si>
  <si>
    <t>RZC23-NGA-003</t>
  </si>
  <si>
    <t>RZC23-NGA-004</t>
  </si>
  <si>
    <t>RZC23-NGA-005</t>
  </si>
  <si>
    <t>RZC23-NGA-006</t>
  </si>
  <si>
    <t>RZC23-NGA-007</t>
  </si>
  <si>
    <t>RZC23-NGA-008</t>
  </si>
  <si>
    <t>RZC23-NGA-009</t>
  </si>
  <si>
    <t>RZC23-NGA-010</t>
  </si>
  <si>
    <t>RZC23-NGA-011</t>
  </si>
  <si>
    <t>RZC23-NGA-012</t>
  </si>
  <si>
    <t>RZC23-NGA-013</t>
  </si>
  <si>
    <t>RZC23-NGA-014</t>
  </si>
  <si>
    <t>RZC23-NGA-015</t>
  </si>
  <si>
    <t>RZC23-NGA-016</t>
  </si>
  <si>
    <t>RZC23-NGA-017</t>
  </si>
  <si>
    <t>RZC23-NGA-018</t>
  </si>
  <si>
    <t>RZC23-NGA-019</t>
  </si>
  <si>
    <t>RZC23-NGA-020</t>
  </si>
  <si>
    <t>RZC23-NGA-021</t>
  </si>
  <si>
    <t>RZC23-NGA-022</t>
  </si>
  <si>
    <t>RZC23-NGA-023</t>
  </si>
  <si>
    <t>RZC23-NGA-024</t>
  </si>
  <si>
    <t>RZC23-NGA-025</t>
  </si>
  <si>
    <t>RZC23-NGA-026</t>
  </si>
  <si>
    <t>RZC23-NGA-027</t>
  </si>
  <si>
    <t>GSM</t>
  </si>
  <si>
    <t>metal_ring</t>
  </si>
  <si>
    <t>yes</t>
  </si>
  <si>
    <t>picture_eyes</t>
  </si>
  <si>
    <t>date_observation</t>
  </si>
  <si>
    <t>ID_sample</t>
  </si>
  <si>
    <t>&gt;30</t>
  </si>
  <si>
    <t>group</t>
  </si>
  <si>
    <t>captured/GSM</t>
  </si>
  <si>
    <t>retour sur nid</t>
  </si>
  <si>
    <t>quitte le nid</t>
  </si>
  <si>
    <t>retour sur nid/partenaire avec œil gauche noir</t>
  </si>
  <si>
    <t>captured/GPS-darvic</t>
  </si>
  <si>
    <t>date_capture</t>
  </si>
  <si>
    <t>BRZ</t>
  </si>
  <si>
    <t>not captured/control</t>
  </si>
  <si>
    <t>BSZ</t>
  </si>
  <si>
    <t>AER</t>
  </si>
  <si>
    <t>ACB</t>
  </si>
  <si>
    <t>BSX</t>
  </si>
  <si>
    <t>AEY</t>
  </si>
  <si>
    <t>ALE</t>
  </si>
  <si>
    <t>BSU</t>
  </si>
  <si>
    <t>BRG</t>
  </si>
  <si>
    <t>AEI</t>
  </si>
  <si>
    <t>BST</t>
  </si>
  <si>
    <t>quitte le nid/partenaire bagué métal 39806</t>
  </si>
  <si>
    <t>heure</t>
  </si>
  <si>
    <t xml:space="preserve">nombre total œil blanc </t>
  </si>
  <si>
    <t>nombre total œil noir</t>
  </si>
  <si>
    <t>nombre total individus yeux blancs</t>
  </si>
  <si>
    <t>nombre total individus yeux noirs</t>
  </si>
  <si>
    <t>nombre total individus œil blanc/œil noir</t>
  </si>
  <si>
    <t>stade</t>
  </si>
  <si>
    <t>adulte</t>
  </si>
  <si>
    <t>zone</t>
  </si>
  <si>
    <t>nord</t>
  </si>
  <si>
    <t>sud</t>
  </si>
  <si>
    <t>immature</t>
  </si>
  <si>
    <t>nord-est</t>
  </si>
  <si>
    <t>nombre de nid poussin seul</t>
  </si>
  <si>
    <t>nombre de nid contenant du plastique</t>
  </si>
  <si>
    <t>nombre de nids observés</t>
  </si>
  <si>
    <t xml:space="preserve">retour sur nid </t>
  </si>
  <si>
    <t>nombre total œil tacheté</t>
  </si>
  <si>
    <t>time (hh:mm:ss)</t>
  </si>
  <si>
    <t>time_shift (min)</t>
  </si>
  <si>
    <t>observateur</t>
  </si>
  <si>
    <t>JT</t>
  </si>
  <si>
    <t>Jérémy Tornos</t>
  </si>
  <si>
    <t>équipement GSM de 4 juvéniles et 8 adultes</t>
  </si>
  <si>
    <t>équipement de 3 individus : fin des poses de GPS-GSM + départ de DG fin de matinée avec les premiers prélèvements plasma et écouvillons secs (apportés à l4ANSES par Aurélien Prudor)</t>
  </si>
  <si>
    <t>départ de Lannion pour retour à Montpellier : seuls les écouvillons secs sont restés au -20°C à la station LPO -&gt; pour Béatrice Grasland de l'ANSES</t>
  </si>
  <si>
    <t>arrivée à île Grande et préparation du matériel à la station LPO/radome</t>
  </si>
  <si>
    <t>départ pour Rouzic, installation du matériel + équipement GSM de 6 juvéniles</t>
  </si>
  <si>
    <t>Ploufragan</t>
  </si>
  <si>
    <t>Montpellier</t>
  </si>
  <si>
    <t>retour sur Montpellier avec les prélèvements épidémio et toxico</t>
  </si>
  <si>
    <t>dépose des 20 écouvillons cloacaux à l'ANSES (contact : Eric Niqueux, équipe de Béatrice Grasland)</t>
  </si>
  <si>
    <t>équipement GSM de 2 adultes et rangement du matériel. Fin des poses de GSM</t>
  </si>
  <si>
    <t>RZC23-NGA-028</t>
  </si>
  <si>
    <t>RZC23-NGA-029</t>
  </si>
  <si>
    <t>RZC23-NGA-030</t>
  </si>
  <si>
    <t>RZC23-NGA-031</t>
  </si>
  <si>
    <t>RZC23-NGA-032</t>
  </si>
  <si>
    <t>RZC23-NGA-033</t>
  </si>
  <si>
    <t>BUI</t>
  </si>
  <si>
    <t>metal_ring_CF</t>
  </si>
  <si>
    <t>juvenile</t>
  </si>
  <si>
    <t>juv</t>
  </si>
  <si>
    <t>clear</t>
  </si>
  <si>
    <t>JT/ML</t>
  </si>
  <si>
    <t>swab_cloac_dry_ANSES</t>
  </si>
  <si>
    <t>BUL</t>
  </si>
  <si>
    <t>BUW</t>
  </si>
  <si>
    <t>BTA</t>
  </si>
  <si>
    <t>BTB</t>
  </si>
  <si>
    <t>BTC</t>
  </si>
  <si>
    <t>RZC23-NGA-034</t>
  </si>
  <si>
    <t>RZC23-NGA-035</t>
  </si>
  <si>
    <t>RZC23-NGA-036</t>
  </si>
  <si>
    <t>RZC23-NGA-037</t>
  </si>
  <si>
    <t>RZC23-NGA-038</t>
  </si>
  <si>
    <t>RZC23-NGA-039</t>
  </si>
  <si>
    <t>RZC23-NGA-040</t>
  </si>
  <si>
    <t>RZC23-NGA-041</t>
  </si>
  <si>
    <t>BTF</t>
  </si>
  <si>
    <t>BTG</t>
  </si>
  <si>
    <t>BTH</t>
  </si>
  <si>
    <r>
      <t>P1/</t>
    </r>
    <r>
      <rPr>
        <sz val="12"/>
        <color rgb="FFFF0000"/>
        <rFont val="Calibri"/>
        <family val="2"/>
        <scheme val="minor"/>
      </rPr>
      <t>P09</t>
    </r>
    <r>
      <rPr>
        <sz val="12"/>
        <color theme="1"/>
        <rFont val="Calibri"/>
        <family val="2"/>
        <scheme val="minor"/>
      </rPr>
      <t>/Body</t>
    </r>
  </si>
  <si>
    <t>BTI</t>
  </si>
  <si>
    <t>BTK</t>
  </si>
  <si>
    <t>BTL</t>
  </si>
  <si>
    <t>BTM</t>
  </si>
  <si>
    <t>BTN</t>
  </si>
  <si>
    <t>RZC23-NGA-042</t>
  </si>
  <si>
    <t>RZC23-NGA-043</t>
  </si>
  <si>
    <t>RZC23-NGA-044</t>
  </si>
  <si>
    <t>RZC23-NGA-045</t>
  </si>
  <si>
    <t>RZC23-NGA-046</t>
  </si>
  <si>
    <t>BTQ</t>
  </si>
  <si>
    <t xml:space="preserve">white </t>
  </si>
  <si>
    <t>BTR</t>
  </si>
  <si>
    <t>BTS</t>
  </si>
  <si>
    <t>partner of ACB</t>
  </si>
  <si>
    <t>partner metal ring CF39788</t>
  </si>
  <si>
    <t>BTU</t>
  </si>
  <si>
    <t>BTV</t>
  </si>
  <si>
    <t>post-rain</t>
  </si>
  <si>
    <t>post-rain/breeder ?</t>
  </si>
  <si>
    <t>RZC23-NGA-047</t>
  </si>
  <si>
    <t>BTW</t>
  </si>
  <si>
    <t>darvic_ring</t>
  </si>
  <si>
    <t>status</t>
  </si>
  <si>
    <t>ABB</t>
  </si>
  <si>
    <t>ADY</t>
  </si>
  <si>
    <t>breeder</t>
  </si>
  <si>
    <t>non-breeder</t>
  </si>
  <si>
    <t>BRU</t>
  </si>
  <si>
    <t>AEN</t>
  </si>
  <si>
    <t>dark right eye</t>
  </si>
  <si>
    <t>BSC</t>
  </si>
  <si>
    <t>BSR</t>
  </si>
  <si>
    <t>dark eyes</t>
  </si>
  <si>
    <t>ACW</t>
  </si>
  <si>
    <t>AEE</t>
  </si>
  <si>
    <t>eyes color</t>
  </si>
  <si>
    <t>partner</t>
  </si>
  <si>
    <t>ABU</t>
  </si>
  <si>
    <t>BSM</t>
  </si>
  <si>
    <t>BSK</t>
  </si>
  <si>
    <t>AHT</t>
  </si>
  <si>
    <t>breeder ?</t>
  </si>
  <si>
    <t>spotted eyes</t>
  </si>
  <si>
    <t>BRX (dark right eye)</t>
  </si>
  <si>
    <t>BRI</t>
  </si>
  <si>
    <t>AAT</t>
  </si>
  <si>
    <t>CF29883</t>
  </si>
  <si>
    <t>CF39820</t>
  </si>
  <si>
    <t>CF39836</t>
  </si>
  <si>
    <t>CF39788</t>
  </si>
  <si>
    <t>CF39813</t>
  </si>
  <si>
    <t>CF39804</t>
  </si>
  <si>
    <t>CF39806</t>
  </si>
  <si>
    <t>CF37403</t>
  </si>
  <si>
    <t>F38205 Inform Jersey</t>
  </si>
  <si>
    <t>partner metal ring CF37444</t>
  </si>
  <si>
    <t>CF37444</t>
  </si>
  <si>
    <t>CF39878</t>
  </si>
  <si>
    <t>CF39817</t>
  </si>
  <si>
    <t>BSW</t>
  </si>
  <si>
    <t>CF49849</t>
  </si>
  <si>
    <t xml:space="preserve">départ de Rouzic vers 12h, rangement et stockage du matériel au radome et debrieff de la mission avec Pascal Provost </t>
  </si>
  <si>
    <t>chick of BUG (NGA-015)</t>
  </si>
  <si>
    <t>chick of BUA (NGA-003)</t>
  </si>
  <si>
    <t>chick of BRX (NGA-001)</t>
  </si>
  <si>
    <t>chick of BUV (NGA-004)</t>
  </si>
  <si>
    <t>chick of BTQ (NGA-042)</t>
  </si>
  <si>
    <t>parent of BTL (NGA-039) / partner metal ring CF29883</t>
  </si>
  <si>
    <t>chick of BUY (NGA-007)</t>
  </si>
  <si>
    <t>chick of BTH (NGA-036)</t>
  </si>
  <si>
    <t>parent of BTF (NGA-034)</t>
  </si>
  <si>
    <t xml:space="preserve">former darvic ring BUS -&gt; lost </t>
  </si>
  <si>
    <t>+</t>
  </si>
  <si>
    <t>-</t>
  </si>
  <si>
    <t>+/-</t>
  </si>
  <si>
    <t>age_chick</t>
  </si>
  <si>
    <t>body_weight</t>
  </si>
  <si>
    <t>tarsus</t>
  </si>
  <si>
    <t>wing</t>
  </si>
  <si>
    <t>culmen</t>
  </si>
  <si>
    <t>AIV_NP</t>
  </si>
  <si>
    <t>AIV_H5</t>
  </si>
  <si>
    <t>AIV</t>
  </si>
  <si>
    <t>Yeux_bino</t>
  </si>
  <si>
    <t>Yeux_colo</t>
  </si>
  <si>
    <t>1dark</t>
  </si>
  <si>
    <t>1spotted</t>
  </si>
  <si>
    <t>2dark</t>
  </si>
  <si>
    <t>2white</t>
  </si>
  <si>
    <t>2spotted</t>
  </si>
  <si>
    <t>1dark1spotted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</si>
</sst>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14" fontId="0" fillId="0" borderId="0" xfId="0" applyNumberFormat="1"/>
    <xf numFmtId="20" fontId="0" fillId="0" borderId="0" xfId="0" applyNumberFormat="1"/>
    <xf numFmtId="0" fontId="0" fillId="0" borderId="0" xfId="0" applyFill="1" applyBorder="1"/>
    <xf numFmtId="0" fontId="0" fillId="0" borderId="0" xfId="0" applyNumberFormat="1" applyFill="1" applyBorder="1"/>
    <xf numFmtId="0" fontId="0" fillId="0" borderId="0" xfId="0" applyNumberFormat="1"/>
    <xf numFmtId="49" fontId="0" fillId="0" borderId="0" xfId="0" applyNumberFormat="1" applyAlignment="1">
      <alignment horizontal="right"/>
    </xf>
    <xf numFmtId="0" fontId="2" fillId="0" borderId="0" xfId="0" applyFont="1"/>
    <xf numFmtId="14" fontId="0" fillId="0" borderId="1" xfId="0" applyNumberFormat="1" applyBorder="1"/>
    <xf numFmtId="0" fontId="0" fillId="0" borderId="1" xfId="0" applyBorder="1"/>
    <xf numFmtId="14" fontId="2" fillId="3" borderId="1" xfId="0" applyNumberFormat="1" applyFont="1" applyFill="1" applyBorder="1"/>
    <xf numFmtId="0" fontId="0" fillId="0" borderId="0" xfId="0" applyAlignment="1">
      <alignment horizontal="right"/>
    </xf>
    <xf numFmtId="164" fontId="0" fillId="0" borderId="0" xfId="0" applyNumberFormat="1"/>
    <xf numFmtId="0" fontId="3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4" fillId="2" borderId="0" xfId="0" applyNumberFormat="1" applyFont="1" applyFill="1"/>
    <xf numFmtId="0" fontId="0" fillId="2" borderId="0" xfId="0" applyFill="1" applyAlignment="1">
      <alignment wrapText="1"/>
    </xf>
    <xf numFmtId="0" fontId="0" fillId="0" borderId="1" xfId="0" applyFill="1" applyBorder="1"/>
    <xf numFmtId="0" fontId="0" fillId="0" borderId="0" xfId="0" applyFill="1" applyBorder="1" applyAlignment="1">
      <alignment wrapText="1"/>
    </xf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applyNumberFormat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activeCell="B4" sqref="B4"/>
    </sheetView>
  </sheetViews>
  <sheetFormatPr baseColWidth="10" defaultRowHeight="15.75" x14ac:dyDescent="0.25"/>
  <cols>
    <col min="2" max="2" width="18.375" customWidth="1"/>
    <col min="7" max="7" width="159.5" customWidth="1"/>
  </cols>
  <sheetData>
    <row r="1" spans="1:7" x14ac:dyDescent="0.25">
      <c r="A1" s="13" t="s">
        <v>2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9</v>
      </c>
    </row>
    <row r="2" spans="1:7" x14ac:dyDescent="0.25">
      <c r="A2" s="11">
        <v>45108</v>
      </c>
      <c r="B2" s="12" t="s">
        <v>71</v>
      </c>
      <c r="C2" s="12" t="s">
        <v>72</v>
      </c>
      <c r="D2" s="12" t="s">
        <v>64</v>
      </c>
      <c r="E2" s="12"/>
      <c r="F2" s="12"/>
      <c r="G2" s="12" t="s">
        <v>73</v>
      </c>
    </row>
    <row r="3" spans="1:7" x14ac:dyDescent="0.25">
      <c r="A3" s="11">
        <v>45109</v>
      </c>
      <c r="B3" s="12" t="s">
        <v>74</v>
      </c>
      <c r="C3" s="12" t="s">
        <v>72</v>
      </c>
      <c r="D3" s="12" t="s">
        <v>64</v>
      </c>
      <c r="E3" s="12" t="s">
        <v>75</v>
      </c>
      <c r="F3" s="12"/>
      <c r="G3" s="12" t="s">
        <v>77</v>
      </c>
    </row>
    <row r="4" spans="1:7" x14ac:dyDescent="0.25">
      <c r="A4" s="11">
        <v>45110</v>
      </c>
      <c r="B4" s="12" t="s">
        <v>76</v>
      </c>
      <c r="C4" s="12" t="s">
        <v>72</v>
      </c>
      <c r="D4" s="12" t="s">
        <v>64</v>
      </c>
      <c r="E4" s="12" t="s">
        <v>65</v>
      </c>
      <c r="F4" s="12"/>
      <c r="G4" s="12" t="s">
        <v>79</v>
      </c>
    </row>
    <row r="5" spans="1:7" x14ac:dyDescent="0.25">
      <c r="A5" s="11">
        <v>45111</v>
      </c>
      <c r="B5" s="12" t="s">
        <v>76</v>
      </c>
      <c r="C5" s="12" t="s">
        <v>72</v>
      </c>
      <c r="D5" s="12" t="s">
        <v>64</v>
      </c>
      <c r="E5" s="12" t="s">
        <v>65</v>
      </c>
      <c r="F5" s="12"/>
      <c r="G5" s="12" t="s">
        <v>78</v>
      </c>
    </row>
    <row r="6" spans="1:7" x14ac:dyDescent="0.25">
      <c r="A6" s="11">
        <v>45112</v>
      </c>
      <c r="B6" s="12" t="s">
        <v>76</v>
      </c>
      <c r="C6" s="12" t="s">
        <v>72</v>
      </c>
      <c r="D6" s="12" t="s">
        <v>64</v>
      </c>
      <c r="E6" s="12" t="s">
        <v>65</v>
      </c>
      <c r="F6" s="12"/>
      <c r="G6" s="12" t="s">
        <v>175</v>
      </c>
    </row>
    <row r="7" spans="1:7" x14ac:dyDescent="0.25">
      <c r="A7" s="11">
        <v>45112</v>
      </c>
      <c r="B7" s="12" t="s">
        <v>76</v>
      </c>
      <c r="C7" s="12" t="s">
        <v>72</v>
      </c>
      <c r="D7" s="12" t="s">
        <v>64</v>
      </c>
      <c r="E7" s="12"/>
      <c r="F7" s="12"/>
      <c r="G7" s="12" t="s">
        <v>80</v>
      </c>
    </row>
    <row r="8" spans="1:7" x14ac:dyDescent="0.25">
      <c r="A8" s="11">
        <v>45113</v>
      </c>
      <c r="B8" s="12" t="s">
        <v>76</v>
      </c>
      <c r="C8" s="12" t="s">
        <v>72</v>
      </c>
      <c r="D8" s="12" t="s">
        <v>64</v>
      </c>
      <c r="E8" s="12"/>
      <c r="F8" s="12"/>
      <c r="G8" s="12" t="s">
        <v>85</v>
      </c>
    </row>
    <row r="9" spans="1:7" x14ac:dyDescent="0.25">
      <c r="A9" s="11">
        <v>45114</v>
      </c>
      <c r="B9" s="12" t="s">
        <v>76</v>
      </c>
      <c r="C9" s="12" t="s">
        <v>72</v>
      </c>
      <c r="D9" s="12" t="s">
        <v>64</v>
      </c>
      <c r="E9" s="12"/>
      <c r="F9" s="12"/>
      <c r="G9" s="12" t="s">
        <v>86</v>
      </c>
    </row>
    <row r="10" spans="1:7" x14ac:dyDescent="0.25">
      <c r="A10" s="11">
        <v>45115</v>
      </c>
      <c r="B10" s="12" t="s">
        <v>76</v>
      </c>
      <c r="C10" s="12" t="s">
        <v>72</v>
      </c>
      <c r="D10" s="12" t="s">
        <v>64</v>
      </c>
      <c r="E10" s="12"/>
      <c r="F10" s="12"/>
      <c r="G10" s="12" t="s">
        <v>86</v>
      </c>
    </row>
    <row r="11" spans="1:7" x14ac:dyDescent="0.25">
      <c r="A11" s="11">
        <v>45116</v>
      </c>
      <c r="B11" s="12" t="s">
        <v>76</v>
      </c>
      <c r="C11" s="12" t="s">
        <v>72</v>
      </c>
      <c r="D11" s="12" t="s">
        <v>64</v>
      </c>
      <c r="E11" s="12"/>
      <c r="F11" s="12"/>
      <c r="G11" s="12" t="s">
        <v>86</v>
      </c>
    </row>
    <row r="12" spans="1:7" x14ac:dyDescent="0.25">
      <c r="A12" s="11">
        <v>45117</v>
      </c>
      <c r="B12" s="12" t="s">
        <v>74</v>
      </c>
      <c r="C12" s="12" t="s">
        <v>72</v>
      </c>
      <c r="D12" s="12" t="s">
        <v>64</v>
      </c>
      <c r="E12" s="12" t="s">
        <v>75</v>
      </c>
      <c r="F12" s="12"/>
      <c r="G12" s="12" t="s">
        <v>87</v>
      </c>
    </row>
    <row r="13" spans="1:7" x14ac:dyDescent="0.25">
      <c r="A13" s="11">
        <v>45118</v>
      </c>
      <c r="B13" s="12" t="s">
        <v>71</v>
      </c>
      <c r="C13" s="12" t="s">
        <v>72</v>
      </c>
      <c r="D13" s="12" t="s">
        <v>64</v>
      </c>
      <c r="E13" s="12"/>
      <c r="F13" s="12"/>
      <c r="G13" s="12" t="s">
        <v>176</v>
      </c>
    </row>
    <row r="14" spans="1:7" x14ac:dyDescent="0.25">
      <c r="A14" s="11">
        <v>45159</v>
      </c>
      <c r="B14" s="22" t="s">
        <v>74</v>
      </c>
      <c r="C14" s="22" t="s">
        <v>172</v>
      </c>
      <c r="D14" s="22" t="s">
        <v>64</v>
      </c>
      <c r="E14" s="22" t="s">
        <v>75</v>
      </c>
      <c r="F14" s="12"/>
      <c r="G14" s="22" t="s">
        <v>177</v>
      </c>
    </row>
    <row r="15" spans="1:7" x14ac:dyDescent="0.25">
      <c r="A15" s="11">
        <v>45160</v>
      </c>
      <c r="B15" s="22" t="s">
        <v>76</v>
      </c>
      <c r="C15" s="22" t="s">
        <v>172</v>
      </c>
      <c r="D15" s="22" t="s">
        <v>64</v>
      </c>
      <c r="E15" s="12"/>
      <c r="F15" s="12"/>
      <c r="G15" s="22" t="s">
        <v>178</v>
      </c>
    </row>
    <row r="16" spans="1:7" x14ac:dyDescent="0.25">
      <c r="A16" s="11">
        <v>45161</v>
      </c>
      <c r="B16" s="22" t="s">
        <v>76</v>
      </c>
      <c r="C16" s="22" t="s">
        <v>172</v>
      </c>
      <c r="D16" s="22" t="s">
        <v>64</v>
      </c>
      <c r="E16" s="12"/>
      <c r="F16" s="12"/>
      <c r="G16" s="22" t="s">
        <v>174</v>
      </c>
    </row>
    <row r="17" spans="1:7" x14ac:dyDescent="0.25">
      <c r="A17" s="11">
        <v>45162</v>
      </c>
      <c r="B17" s="22" t="s">
        <v>76</v>
      </c>
      <c r="C17" s="22" t="s">
        <v>172</v>
      </c>
      <c r="D17" s="22" t="s">
        <v>64</v>
      </c>
      <c r="E17" s="12"/>
      <c r="F17" s="12"/>
      <c r="G17" s="22" t="s">
        <v>183</v>
      </c>
    </row>
    <row r="18" spans="1:7" x14ac:dyDescent="0.25">
      <c r="A18" s="11">
        <v>45162</v>
      </c>
      <c r="B18" s="22" t="s">
        <v>74</v>
      </c>
      <c r="C18" s="22" t="s">
        <v>172</v>
      </c>
      <c r="D18" s="22" t="s">
        <v>64</v>
      </c>
      <c r="E18" s="22" t="s">
        <v>75</v>
      </c>
      <c r="F18" s="12"/>
      <c r="G18" s="22" t="s">
        <v>276</v>
      </c>
    </row>
    <row r="19" spans="1:7" x14ac:dyDescent="0.25">
      <c r="A19" s="11">
        <v>45163</v>
      </c>
      <c r="B19" s="22" t="s">
        <v>179</v>
      </c>
      <c r="C19" s="22" t="s">
        <v>172</v>
      </c>
      <c r="D19" s="22" t="s">
        <v>64</v>
      </c>
      <c r="E19" s="22"/>
      <c r="F19" s="12"/>
      <c r="G19" s="22" t="s">
        <v>182</v>
      </c>
    </row>
    <row r="20" spans="1:7" x14ac:dyDescent="0.25">
      <c r="A20" s="11">
        <v>45163</v>
      </c>
      <c r="B20" s="22" t="s">
        <v>180</v>
      </c>
      <c r="C20" s="22" t="s">
        <v>172</v>
      </c>
      <c r="D20" s="22" t="s">
        <v>64</v>
      </c>
      <c r="E20" s="22"/>
      <c r="F20" s="12"/>
      <c r="G20" s="22" t="s">
        <v>181</v>
      </c>
    </row>
    <row r="21" spans="1:7" x14ac:dyDescent="0.25">
      <c r="A21" s="4"/>
      <c r="B21" s="6"/>
      <c r="C21" s="6"/>
      <c r="D21" s="6"/>
      <c r="E21" s="6"/>
      <c r="G21" s="6"/>
    </row>
    <row r="22" spans="1:7" x14ac:dyDescent="0.25">
      <c r="A22" s="10" t="s">
        <v>88</v>
      </c>
    </row>
    <row r="23" spans="1:7" x14ac:dyDescent="0.25">
      <c r="A23" t="s">
        <v>75</v>
      </c>
      <c r="B23" t="s">
        <v>89</v>
      </c>
    </row>
    <row r="24" spans="1:7" x14ac:dyDescent="0.25">
      <c r="A24" t="s">
        <v>65</v>
      </c>
      <c r="B24" t="s">
        <v>90</v>
      </c>
    </row>
    <row r="25" spans="1:7" x14ac:dyDescent="0.25">
      <c r="A25" t="s">
        <v>72</v>
      </c>
      <c r="B25" t="s">
        <v>91</v>
      </c>
    </row>
    <row r="26" spans="1:7" x14ac:dyDescent="0.25">
      <c r="A26" t="s">
        <v>64</v>
      </c>
      <c r="B26" t="s">
        <v>92</v>
      </c>
    </row>
    <row r="27" spans="1:7" x14ac:dyDescent="0.25">
      <c r="A27" t="s">
        <v>172</v>
      </c>
      <c r="B27" t="s">
        <v>173</v>
      </c>
    </row>
    <row r="28" spans="1:7" x14ac:dyDescent="0.25">
      <c r="A28" t="s">
        <v>93</v>
      </c>
      <c r="B28" t="s">
        <v>94</v>
      </c>
    </row>
    <row r="29" spans="1:7" x14ac:dyDescent="0.25">
      <c r="A29" t="s">
        <v>95</v>
      </c>
      <c r="B2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048576"/>
  <sheetViews>
    <sheetView tabSelected="1" zoomScale="70" zoomScaleNormal="70" zoomScaleSheetLayoutView="50" workbookViewId="0">
      <pane ySplit="1" topLeftCell="A2" activePane="bottomLeft" state="frozen"/>
      <selection pane="bottomLeft" activeCell="Q51" sqref="Q51:R51"/>
    </sheetView>
  </sheetViews>
  <sheetFormatPr baseColWidth="10" defaultRowHeight="15.75" x14ac:dyDescent="0.25"/>
  <cols>
    <col min="1" max="1" width="15.625" customWidth="1"/>
    <col min="3" max="3" width="12.875" customWidth="1"/>
    <col min="4" max="4" width="16" customWidth="1"/>
    <col min="5" max="5" width="14.875" customWidth="1"/>
    <col min="6" max="6" width="13.625" style="8" customWidth="1"/>
    <col min="7" max="8" width="11.625" style="8" customWidth="1"/>
    <col min="9" max="9" width="14" customWidth="1"/>
    <col min="10" max="11" width="11" customWidth="1"/>
    <col min="13" max="13" width="16.875" style="26" customWidth="1"/>
    <col min="14" max="16" width="15.625" customWidth="1"/>
    <col min="17" max="17" width="19.125" customWidth="1"/>
    <col min="18" max="18" width="15.625" customWidth="1"/>
    <col min="19" max="19" width="13.375" style="30" customWidth="1"/>
    <col min="20" max="20" width="12.375" style="30" customWidth="1"/>
    <col min="21" max="21" width="16.875" customWidth="1"/>
    <col min="24" max="24" width="14.5" customWidth="1"/>
    <col min="26" max="26" width="13.125" customWidth="1"/>
    <col min="27" max="27" width="14.5" customWidth="1"/>
    <col min="29" max="29" width="15.5" customWidth="1"/>
    <col min="30" max="30" width="13.5" customWidth="1"/>
    <col min="31" max="31" width="34.625" style="19" customWidth="1"/>
    <col min="32" max="32" width="12.5" customWidth="1"/>
    <col min="35" max="35" width="17.625" customWidth="1"/>
    <col min="36" max="36" width="22" customWidth="1"/>
    <col min="37" max="37" width="21.375" customWidth="1"/>
    <col min="38" max="38" width="19.5" customWidth="1"/>
  </cols>
  <sheetData>
    <row r="1" spans="1:38" s="1" customFormat="1" x14ac:dyDescent="0.25">
      <c r="A1" s="1" t="s">
        <v>0</v>
      </c>
      <c r="B1" s="1" t="s">
        <v>1</v>
      </c>
      <c r="C1" s="2" t="s">
        <v>2</v>
      </c>
      <c r="D1" s="1" t="s">
        <v>96</v>
      </c>
      <c r="E1" s="1" t="s">
        <v>3</v>
      </c>
      <c r="F1" s="7" t="s">
        <v>124</v>
      </c>
      <c r="G1" s="7" t="s">
        <v>19</v>
      </c>
      <c r="H1" s="7" t="s">
        <v>50</v>
      </c>
      <c r="I1" s="1" t="s">
        <v>191</v>
      </c>
      <c r="J1" s="1" t="s">
        <v>4</v>
      </c>
      <c r="K1" s="1" t="s">
        <v>6</v>
      </c>
      <c r="L1" s="6" t="s">
        <v>22</v>
      </c>
      <c r="M1" s="27" t="s">
        <v>290</v>
      </c>
      <c r="N1" s="6" t="s">
        <v>25</v>
      </c>
      <c r="O1" s="6" t="s">
        <v>26</v>
      </c>
      <c r="P1" s="6" t="s">
        <v>299</v>
      </c>
      <c r="Q1" s="6" t="s">
        <v>298</v>
      </c>
      <c r="R1" s="6" t="s">
        <v>297</v>
      </c>
      <c r="S1" s="29" t="s">
        <v>295</v>
      </c>
      <c r="T1" s="29" t="s">
        <v>296</v>
      </c>
      <c r="U1" s="3" t="s">
        <v>291</v>
      </c>
      <c r="V1" s="1" t="s">
        <v>292</v>
      </c>
      <c r="W1" s="1" t="s">
        <v>293</v>
      </c>
      <c r="X1" s="1" t="s">
        <v>294</v>
      </c>
      <c r="Y1" s="1" t="s">
        <v>7</v>
      </c>
      <c r="Z1" s="1" t="s">
        <v>127</v>
      </c>
      <c r="AA1" s="1" t="s">
        <v>8</v>
      </c>
      <c r="AB1" s="1" t="s">
        <v>62</v>
      </c>
      <c r="AC1" s="6" t="s">
        <v>24</v>
      </c>
      <c r="AD1" s="1" t="s">
        <v>5</v>
      </c>
      <c r="AE1" s="23" t="s">
        <v>9</v>
      </c>
      <c r="AF1" s="6" t="s">
        <v>20</v>
      </c>
      <c r="AG1" s="1" t="s">
        <v>10</v>
      </c>
      <c r="AH1" s="1" t="s">
        <v>11</v>
      </c>
      <c r="AI1" s="1" t="s">
        <v>84</v>
      </c>
      <c r="AJ1" s="1" t="s">
        <v>18</v>
      </c>
      <c r="AK1" s="1" t="s">
        <v>196</v>
      </c>
      <c r="AL1" s="1" t="s">
        <v>83</v>
      </c>
    </row>
    <row r="2" spans="1:38" x14ac:dyDescent="0.25">
      <c r="A2" t="s">
        <v>12</v>
      </c>
      <c r="B2" t="s">
        <v>13</v>
      </c>
      <c r="C2" s="4">
        <v>45110</v>
      </c>
      <c r="D2" t="s">
        <v>97</v>
      </c>
      <c r="E2" s="5">
        <v>0.51041666666666663</v>
      </c>
      <c r="F2" s="8">
        <v>233663</v>
      </c>
      <c r="G2" s="8">
        <v>8739</v>
      </c>
      <c r="H2" s="8" t="s">
        <v>53</v>
      </c>
      <c r="I2">
        <v>49809</v>
      </c>
      <c r="J2" t="s">
        <v>14</v>
      </c>
      <c r="K2" t="s">
        <v>15</v>
      </c>
      <c r="L2" t="s">
        <v>23</v>
      </c>
      <c r="M2" s="26">
        <v>5</v>
      </c>
      <c r="N2" t="s">
        <v>27</v>
      </c>
      <c r="O2" t="s">
        <v>28</v>
      </c>
      <c r="P2" t="s">
        <v>300</v>
      </c>
      <c r="Q2">
        <f>IF(OR(N2="dark",O2="dark",N2="spotted",O2="spotted"),1,0)</f>
        <v>1</v>
      </c>
      <c r="R2">
        <f>IF(S2="+",1,0)</f>
        <v>1</v>
      </c>
      <c r="S2" s="30" t="s">
        <v>287</v>
      </c>
      <c r="T2" s="30" t="s">
        <v>287</v>
      </c>
      <c r="U2">
        <v>2.9</v>
      </c>
      <c r="V2">
        <v>63.3</v>
      </c>
      <c r="W2">
        <v>48.5</v>
      </c>
      <c r="X2">
        <v>99.9</v>
      </c>
      <c r="Y2" t="s">
        <v>17</v>
      </c>
      <c r="Z2" t="s">
        <v>126</v>
      </c>
      <c r="AA2" t="s">
        <v>81</v>
      </c>
      <c r="AB2" t="s">
        <v>29</v>
      </c>
      <c r="AC2">
        <v>2</v>
      </c>
      <c r="AD2" t="s">
        <v>55</v>
      </c>
      <c r="AE2" s="19" t="s">
        <v>229</v>
      </c>
      <c r="AF2" t="s">
        <v>21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x14ac:dyDescent="0.25">
      <c r="A3" t="s">
        <v>12</v>
      </c>
      <c r="B3" t="s">
        <v>13</v>
      </c>
      <c r="C3" s="4">
        <v>45110</v>
      </c>
      <c r="D3" t="s">
        <v>98</v>
      </c>
      <c r="E3" s="5">
        <v>0.5854166666666667</v>
      </c>
      <c r="F3" s="8">
        <v>233665</v>
      </c>
      <c r="G3" s="8">
        <v>8735</v>
      </c>
      <c r="H3" s="8" t="s">
        <v>53</v>
      </c>
      <c r="I3" s="8">
        <v>49810</v>
      </c>
      <c r="J3" t="s">
        <v>30</v>
      </c>
      <c r="K3" t="s">
        <v>15</v>
      </c>
      <c r="L3" t="s">
        <v>44</v>
      </c>
      <c r="M3" s="9" t="s">
        <v>31</v>
      </c>
      <c r="N3" t="s">
        <v>28</v>
      </c>
      <c r="O3" t="s">
        <v>28</v>
      </c>
      <c r="P3" t="s">
        <v>302</v>
      </c>
      <c r="Q3">
        <f t="shared" ref="Q3:Q48" si="0">IF(OR(N3="dark",O3="dark",N3="spotted",O3="spotted"),1,0)</f>
        <v>1</v>
      </c>
      <c r="R3">
        <f t="shared" ref="R3:R48" si="1">IF(S3="+",1,0)</f>
        <v>1</v>
      </c>
      <c r="S3" s="30" t="s">
        <v>287</v>
      </c>
      <c r="T3" s="30" t="s">
        <v>287</v>
      </c>
      <c r="U3">
        <v>3.05</v>
      </c>
      <c r="V3">
        <v>63.5</v>
      </c>
      <c r="W3">
        <v>48.8</v>
      </c>
      <c r="X3">
        <v>97</v>
      </c>
      <c r="Y3" t="s">
        <v>17</v>
      </c>
      <c r="AA3" t="s">
        <v>81</v>
      </c>
      <c r="AC3">
        <v>1</v>
      </c>
      <c r="AD3" t="s">
        <v>55</v>
      </c>
      <c r="AF3" t="s">
        <v>21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x14ac:dyDescent="0.25">
      <c r="A4" t="s">
        <v>12</v>
      </c>
      <c r="B4" t="s">
        <v>13</v>
      </c>
      <c r="C4" s="4">
        <v>45110</v>
      </c>
      <c r="D4" t="s">
        <v>99</v>
      </c>
      <c r="E4" s="5">
        <v>0.63680555555555551</v>
      </c>
      <c r="F4" s="8">
        <v>233667</v>
      </c>
      <c r="G4" s="8">
        <v>8726</v>
      </c>
      <c r="H4" s="8" t="s">
        <v>53</v>
      </c>
      <c r="I4">
        <v>49825</v>
      </c>
      <c r="J4" t="s">
        <v>32</v>
      </c>
      <c r="K4" t="s">
        <v>15</v>
      </c>
      <c r="L4" t="s">
        <v>44</v>
      </c>
      <c r="M4" s="9" t="s">
        <v>31</v>
      </c>
      <c r="N4" t="s">
        <v>28</v>
      </c>
      <c r="O4" t="s">
        <v>27</v>
      </c>
      <c r="P4" t="s">
        <v>300</v>
      </c>
      <c r="Q4">
        <f t="shared" si="0"/>
        <v>1</v>
      </c>
      <c r="R4">
        <f t="shared" si="1"/>
        <v>1</v>
      </c>
      <c r="S4" s="30" t="s">
        <v>287</v>
      </c>
      <c r="T4" s="30" t="s">
        <v>287</v>
      </c>
      <c r="U4">
        <v>3.25</v>
      </c>
      <c r="V4">
        <v>66</v>
      </c>
      <c r="W4">
        <v>50.5</v>
      </c>
      <c r="X4">
        <v>98</v>
      </c>
      <c r="Y4" t="s">
        <v>17</v>
      </c>
      <c r="AA4" t="s">
        <v>81</v>
      </c>
      <c r="AC4">
        <v>1</v>
      </c>
      <c r="AD4" t="s">
        <v>55</v>
      </c>
      <c r="AE4" s="19" t="s">
        <v>270</v>
      </c>
      <c r="AF4" t="s">
        <v>21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x14ac:dyDescent="0.25">
      <c r="A5" t="s">
        <v>12</v>
      </c>
      <c r="B5" t="s">
        <v>13</v>
      </c>
      <c r="C5" s="4">
        <v>45110</v>
      </c>
      <c r="D5" t="s">
        <v>100</v>
      </c>
      <c r="E5" s="5">
        <v>0.70000000000000007</v>
      </c>
      <c r="F5" s="8">
        <v>233664</v>
      </c>
      <c r="G5" s="8">
        <v>8736</v>
      </c>
      <c r="H5" s="8" t="s">
        <v>53</v>
      </c>
      <c r="I5">
        <v>39800</v>
      </c>
      <c r="J5" t="s">
        <v>33</v>
      </c>
      <c r="K5" t="s">
        <v>15</v>
      </c>
      <c r="L5" t="s">
        <v>23</v>
      </c>
      <c r="M5" s="26">
        <v>5</v>
      </c>
      <c r="N5" t="s">
        <v>34</v>
      </c>
      <c r="O5" t="s">
        <v>34</v>
      </c>
      <c r="P5" t="s">
        <v>304</v>
      </c>
      <c r="Q5">
        <f t="shared" si="0"/>
        <v>1</v>
      </c>
      <c r="R5">
        <f t="shared" si="1"/>
        <v>1</v>
      </c>
      <c r="S5" s="30" t="s">
        <v>287</v>
      </c>
      <c r="T5" s="30" t="s">
        <v>287</v>
      </c>
      <c r="U5">
        <v>3.5</v>
      </c>
      <c r="V5">
        <v>64.400000000000006</v>
      </c>
      <c r="W5">
        <v>55</v>
      </c>
      <c r="X5">
        <v>99.8</v>
      </c>
      <c r="Y5" t="s">
        <v>17</v>
      </c>
      <c r="Z5" t="s">
        <v>126</v>
      </c>
      <c r="AA5" t="s">
        <v>81</v>
      </c>
      <c r="AB5" t="s">
        <v>35</v>
      </c>
      <c r="AC5">
        <v>1</v>
      </c>
      <c r="AD5" t="s">
        <v>55</v>
      </c>
      <c r="AF5" t="s">
        <v>21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x14ac:dyDescent="0.25">
      <c r="A6" t="s">
        <v>12</v>
      </c>
      <c r="B6" t="s">
        <v>13</v>
      </c>
      <c r="C6" s="4">
        <v>45110</v>
      </c>
      <c r="D6" t="s">
        <v>101</v>
      </c>
      <c r="E6" s="5">
        <v>0.75</v>
      </c>
      <c r="F6" s="8">
        <v>233660</v>
      </c>
      <c r="G6" s="8">
        <v>8738</v>
      </c>
      <c r="H6" s="8" t="s">
        <v>53</v>
      </c>
      <c r="I6">
        <v>49826</v>
      </c>
      <c r="J6" t="s">
        <v>36</v>
      </c>
      <c r="K6" t="s">
        <v>15</v>
      </c>
      <c r="L6" t="s">
        <v>44</v>
      </c>
      <c r="M6" s="9" t="s">
        <v>31</v>
      </c>
      <c r="N6" t="s">
        <v>28</v>
      </c>
      <c r="O6" t="s">
        <v>27</v>
      </c>
      <c r="P6" t="s">
        <v>300</v>
      </c>
      <c r="Q6">
        <f t="shared" si="0"/>
        <v>1</v>
      </c>
      <c r="R6">
        <f t="shared" si="1"/>
        <v>1</v>
      </c>
      <c r="S6" s="30" t="s">
        <v>287</v>
      </c>
      <c r="T6" s="30" t="s">
        <v>287</v>
      </c>
      <c r="U6">
        <v>2.75</v>
      </c>
      <c r="V6">
        <v>67.7</v>
      </c>
      <c r="W6">
        <v>49.3</v>
      </c>
      <c r="X6">
        <v>102.9</v>
      </c>
      <c r="Y6" t="s">
        <v>17</v>
      </c>
      <c r="Z6" t="s">
        <v>126</v>
      </c>
      <c r="AA6" t="s">
        <v>81</v>
      </c>
      <c r="AC6">
        <v>1</v>
      </c>
      <c r="AD6" t="s">
        <v>55</v>
      </c>
      <c r="AE6" s="19" t="s">
        <v>49</v>
      </c>
      <c r="AF6" t="s">
        <v>21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x14ac:dyDescent="0.25">
      <c r="A7" t="s">
        <v>12</v>
      </c>
      <c r="B7" t="s">
        <v>13</v>
      </c>
      <c r="C7" s="4">
        <v>45110</v>
      </c>
      <c r="D7" t="s">
        <v>102</v>
      </c>
      <c r="E7" s="5">
        <v>0.79861111111111116</v>
      </c>
      <c r="F7" s="8">
        <v>233668</v>
      </c>
      <c r="G7" s="8">
        <v>8728</v>
      </c>
      <c r="H7" s="8" t="s">
        <v>53</v>
      </c>
      <c r="I7" s="8">
        <v>49827</v>
      </c>
      <c r="J7" t="s">
        <v>37</v>
      </c>
      <c r="K7" t="s">
        <v>15</v>
      </c>
      <c r="L7" t="s">
        <v>23</v>
      </c>
      <c r="M7" s="26">
        <v>4</v>
      </c>
      <c r="N7" t="s">
        <v>27</v>
      </c>
      <c r="O7" t="s">
        <v>27</v>
      </c>
      <c r="P7" t="s">
        <v>303</v>
      </c>
      <c r="Q7">
        <f t="shared" si="0"/>
        <v>0</v>
      </c>
      <c r="R7">
        <f t="shared" si="1"/>
        <v>0</v>
      </c>
      <c r="S7" s="30" t="s">
        <v>288</v>
      </c>
      <c r="T7" s="30" t="s">
        <v>288</v>
      </c>
      <c r="U7">
        <v>3.15</v>
      </c>
      <c r="V7">
        <v>69</v>
      </c>
      <c r="W7">
        <v>49.1</v>
      </c>
      <c r="X7">
        <v>96</v>
      </c>
      <c r="Y7" t="s">
        <v>17</v>
      </c>
      <c r="AA7" t="s">
        <v>81</v>
      </c>
      <c r="AC7">
        <v>1</v>
      </c>
      <c r="AD7" t="s">
        <v>55</v>
      </c>
      <c r="AF7" t="s">
        <v>21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x14ac:dyDescent="0.25">
      <c r="A8" t="s">
        <v>12</v>
      </c>
      <c r="B8" t="s">
        <v>13</v>
      </c>
      <c r="C8" s="4">
        <v>45111</v>
      </c>
      <c r="D8" t="s">
        <v>103</v>
      </c>
      <c r="E8" s="5">
        <v>0.36319444444444443</v>
      </c>
      <c r="F8" s="8">
        <v>233666</v>
      </c>
      <c r="G8" s="8">
        <v>8731</v>
      </c>
      <c r="H8" s="8" t="s">
        <v>53</v>
      </c>
      <c r="I8" s="8">
        <v>49828</v>
      </c>
      <c r="J8" t="s">
        <v>38</v>
      </c>
      <c r="K8" t="s">
        <v>15</v>
      </c>
      <c r="L8" t="s">
        <v>44</v>
      </c>
      <c r="M8" s="26">
        <v>6</v>
      </c>
      <c r="N8" t="s">
        <v>28</v>
      </c>
      <c r="O8" t="s">
        <v>28</v>
      </c>
      <c r="P8" t="s">
        <v>302</v>
      </c>
      <c r="Q8">
        <f t="shared" si="0"/>
        <v>1</v>
      </c>
      <c r="R8">
        <f t="shared" si="1"/>
        <v>1</v>
      </c>
      <c r="S8" s="30" t="s">
        <v>287</v>
      </c>
      <c r="T8" s="30" t="s">
        <v>287</v>
      </c>
      <c r="U8">
        <v>3.15</v>
      </c>
      <c r="V8">
        <v>65</v>
      </c>
      <c r="W8">
        <v>49.7</v>
      </c>
      <c r="X8">
        <v>100</v>
      </c>
      <c r="Y8" t="s">
        <v>17</v>
      </c>
      <c r="AA8" t="s">
        <v>81</v>
      </c>
      <c r="AB8" t="s">
        <v>63</v>
      </c>
      <c r="AC8">
        <v>1</v>
      </c>
      <c r="AD8" t="s">
        <v>55</v>
      </c>
      <c r="AF8" t="s">
        <v>21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x14ac:dyDescent="0.25">
      <c r="A9" t="s">
        <v>12</v>
      </c>
      <c r="B9" t="s">
        <v>13</v>
      </c>
      <c r="C9" s="4">
        <v>45111</v>
      </c>
      <c r="D9" t="s">
        <v>104</v>
      </c>
      <c r="E9" s="5">
        <v>0.39166666666666666</v>
      </c>
      <c r="F9" s="8">
        <v>233670</v>
      </c>
      <c r="G9" s="8">
        <v>8729</v>
      </c>
      <c r="H9" s="8" t="s">
        <v>53</v>
      </c>
      <c r="I9" s="8">
        <v>49829</v>
      </c>
      <c r="J9" t="s">
        <v>39</v>
      </c>
      <c r="K9" t="s">
        <v>15</v>
      </c>
      <c r="L9" t="s">
        <v>44</v>
      </c>
      <c r="M9" s="26">
        <v>5</v>
      </c>
      <c r="N9" t="s">
        <v>27</v>
      </c>
      <c r="O9" t="s">
        <v>28</v>
      </c>
      <c r="P9" t="s">
        <v>300</v>
      </c>
      <c r="Q9">
        <f t="shared" si="0"/>
        <v>1</v>
      </c>
      <c r="R9">
        <f t="shared" si="1"/>
        <v>1</v>
      </c>
      <c r="S9" s="30" t="s">
        <v>287</v>
      </c>
      <c r="T9" s="30" t="s">
        <v>287</v>
      </c>
      <c r="U9">
        <v>2.8</v>
      </c>
      <c r="V9">
        <v>63</v>
      </c>
      <c r="W9">
        <v>49.5</v>
      </c>
      <c r="X9">
        <v>103.2</v>
      </c>
      <c r="Y9" t="s">
        <v>17</v>
      </c>
      <c r="AA9" t="s">
        <v>81</v>
      </c>
      <c r="AC9">
        <v>2</v>
      </c>
      <c r="AD9" t="s">
        <v>55</v>
      </c>
      <c r="AF9" t="s">
        <v>21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t="31.5" hidden="1" x14ac:dyDescent="0.25">
      <c r="A10" t="s">
        <v>12</v>
      </c>
      <c r="B10" t="s">
        <v>13</v>
      </c>
      <c r="C10" s="4">
        <v>45111</v>
      </c>
      <c r="D10" t="s">
        <v>105</v>
      </c>
      <c r="E10" s="5">
        <v>0.45069444444444445</v>
      </c>
      <c r="F10" s="20">
        <v>233661.1</v>
      </c>
      <c r="G10" s="8">
        <v>8730</v>
      </c>
      <c r="H10" s="8" t="s">
        <v>53</v>
      </c>
      <c r="I10" s="8">
        <v>49830</v>
      </c>
      <c r="J10" t="s">
        <v>40</v>
      </c>
      <c r="K10" t="s">
        <v>15</v>
      </c>
      <c r="L10" t="s">
        <v>44</v>
      </c>
      <c r="M10" s="9" t="s">
        <v>31</v>
      </c>
      <c r="N10" t="s">
        <v>28</v>
      </c>
      <c r="O10" t="s">
        <v>28</v>
      </c>
      <c r="P10" t="s">
        <v>302</v>
      </c>
      <c r="Q10">
        <f t="shared" si="0"/>
        <v>1</v>
      </c>
      <c r="R10">
        <f t="shared" si="1"/>
        <v>1</v>
      </c>
      <c r="S10" s="30" t="s">
        <v>287</v>
      </c>
      <c r="T10" s="30" t="s">
        <v>287</v>
      </c>
      <c r="U10">
        <v>3.2</v>
      </c>
      <c r="V10">
        <v>57.4</v>
      </c>
      <c r="W10">
        <v>50</v>
      </c>
      <c r="X10">
        <v>98.8</v>
      </c>
      <c r="Y10" t="s">
        <v>17</v>
      </c>
      <c r="AA10" t="s">
        <v>81</v>
      </c>
      <c r="AB10" t="s">
        <v>35</v>
      </c>
      <c r="AC10">
        <v>2</v>
      </c>
      <c r="AD10" t="s">
        <v>55</v>
      </c>
      <c r="AE10" s="21" t="s">
        <v>61</v>
      </c>
      <c r="AF10" t="s">
        <v>21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x14ac:dyDescent="0.25">
      <c r="A11" t="s">
        <v>12</v>
      </c>
      <c r="B11" t="s">
        <v>13</v>
      </c>
      <c r="C11" s="4">
        <v>45111</v>
      </c>
      <c r="D11" t="s">
        <v>106</v>
      </c>
      <c r="E11" s="14" t="s">
        <v>41</v>
      </c>
      <c r="F11" s="8">
        <v>233669</v>
      </c>
      <c r="G11" s="8">
        <v>8737</v>
      </c>
      <c r="H11" s="8" t="s">
        <v>53</v>
      </c>
      <c r="I11" s="8">
        <v>49848</v>
      </c>
      <c r="J11" t="s">
        <v>42</v>
      </c>
      <c r="K11" t="s">
        <v>15</v>
      </c>
      <c r="L11" t="s">
        <v>23</v>
      </c>
      <c r="M11" s="9" t="s">
        <v>31</v>
      </c>
      <c r="N11" t="s">
        <v>27</v>
      </c>
      <c r="O11" t="s">
        <v>27</v>
      </c>
      <c r="P11" t="s">
        <v>303</v>
      </c>
      <c r="Q11">
        <f t="shared" si="0"/>
        <v>0</v>
      </c>
      <c r="R11">
        <f t="shared" si="1"/>
        <v>0</v>
      </c>
      <c r="S11" s="30" t="s">
        <v>288</v>
      </c>
      <c r="T11" s="30" t="s">
        <v>288</v>
      </c>
      <c r="U11">
        <v>3.5</v>
      </c>
      <c r="V11">
        <v>64.900000000000006</v>
      </c>
      <c r="W11">
        <v>49.8</v>
      </c>
      <c r="X11">
        <v>101.3</v>
      </c>
      <c r="Y11" t="s">
        <v>17</v>
      </c>
      <c r="AA11" t="s">
        <v>81</v>
      </c>
      <c r="AB11" t="s">
        <v>35</v>
      </c>
      <c r="AC11">
        <v>2</v>
      </c>
      <c r="AD11" t="s">
        <v>55</v>
      </c>
      <c r="AF11" t="s">
        <v>21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x14ac:dyDescent="0.25">
      <c r="A12" t="s">
        <v>12</v>
      </c>
      <c r="B12" t="s">
        <v>13</v>
      </c>
      <c r="C12" s="4">
        <v>45111</v>
      </c>
      <c r="D12" t="s">
        <v>107</v>
      </c>
      <c r="E12" s="5">
        <v>0.59722222222222221</v>
      </c>
      <c r="F12" s="8">
        <v>233671</v>
      </c>
      <c r="G12" s="8">
        <v>8733</v>
      </c>
      <c r="H12" s="8" t="s">
        <v>53</v>
      </c>
      <c r="I12" s="8">
        <v>49849</v>
      </c>
      <c r="J12" t="s">
        <v>43</v>
      </c>
      <c r="K12" t="s">
        <v>15</v>
      </c>
      <c r="L12" t="s">
        <v>44</v>
      </c>
      <c r="M12" s="26">
        <v>4</v>
      </c>
      <c r="N12" t="s">
        <v>27</v>
      </c>
      <c r="O12" t="s">
        <v>27</v>
      </c>
      <c r="P12" t="s">
        <v>303</v>
      </c>
      <c r="Q12">
        <f t="shared" si="0"/>
        <v>0</v>
      </c>
      <c r="R12">
        <f t="shared" si="1"/>
        <v>0</v>
      </c>
      <c r="S12" s="30" t="s">
        <v>288</v>
      </c>
      <c r="T12" s="30" t="s">
        <v>288</v>
      </c>
      <c r="U12">
        <v>3.3</v>
      </c>
      <c r="V12">
        <v>61.9</v>
      </c>
      <c r="W12">
        <v>50.6</v>
      </c>
      <c r="X12">
        <v>99.3</v>
      </c>
      <c r="Y12" t="s">
        <v>17</v>
      </c>
      <c r="AA12" t="s">
        <v>81</v>
      </c>
      <c r="AC12">
        <v>1</v>
      </c>
      <c r="AD12" t="s">
        <v>55</v>
      </c>
      <c r="AF12" t="s">
        <v>21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x14ac:dyDescent="0.25">
      <c r="A13" t="s">
        <v>12</v>
      </c>
      <c r="B13" t="s">
        <v>13</v>
      </c>
      <c r="C13" s="4">
        <v>45111</v>
      </c>
      <c r="D13" t="s">
        <v>108</v>
      </c>
      <c r="E13" s="5">
        <v>0.63888888888888895</v>
      </c>
      <c r="F13" s="8">
        <v>233672</v>
      </c>
      <c r="G13" s="8">
        <v>8724</v>
      </c>
      <c r="H13" s="8" t="s">
        <v>53</v>
      </c>
      <c r="I13" s="8">
        <v>49850</v>
      </c>
      <c r="J13" t="s">
        <v>45</v>
      </c>
      <c r="K13" t="s">
        <v>15</v>
      </c>
      <c r="L13" t="s">
        <v>44</v>
      </c>
      <c r="M13" s="26">
        <v>4</v>
      </c>
      <c r="N13" t="s">
        <v>27</v>
      </c>
      <c r="O13" t="s">
        <v>27</v>
      </c>
      <c r="P13" t="s">
        <v>303</v>
      </c>
      <c r="Q13">
        <f t="shared" si="0"/>
        <v>0</v>
      </c>
      <c r="R13">
        <f t="shared" si="1"/>
        <v>0</v>
      </c>
      <c r="S13" s="30" t="s">
        <v>288</v>
      </c>
      <c r="T13" s="30" t="s">
        <v>288</v>
      </c>
      <c r="U13">
        <v>3.15</v>
      </c>
      <c r="V13">
        <v>64.400000000000006</v>
      </c>
      <c r="W13">
        <v>49</v>
      </c>
      <c r="X13">
        <v>97.3</v>
      </c>
      <c r="Y13" t="s">
        <v>17</v>
      </c>
      <c r="AA13" t="s">
        <v>81</v>
      </c>
      <c r="AC13">
        <v>2</v>
      </c>
      <c r="AD13" t="s">
        <v>55</v>
      </c>
      <c r="AF13" t="s">
        <v>21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x14ac:dyDescent="0.25">
      <c r="A14" t="s">
        <v>12</v>
      </c>
      <c r="B14" t="s">
        <v>13</v>
      </c>
      <c r="C14" s="4">
        <v>45111</v>
      </c>
      <c r="D14" t="s">
        <v>109</v>
      </c>
      <c r="E14" s="5">
        <v>0.69444444444444453</v>
      </c>
      <c r="F14" s="8">
        <v>233658</v>
      </c>
      <c r="G14" s="8">
        <v>8727</v>
      </c>
      <c r="H14" s="8" t="s">
        <v>53</v>
      </c>
      <c r="I14" s="8">
        <v>51697</v>
      </c>
      <c r="J14" t="s">
        <v>46</v>
      </c>
      <c r="K14" t="s">
        <v>15</v>
      </c>
      <c r="L14" t="s">
        <v>23</v>
      </c>
      <c r="M14" s="26">
        <v>4</v>
      </c>
      <c r="N14" t="s">
        <v>27</v>
      </c>
      <c r="O14" t="s">
        <v>27</v>
      </c>
      <c r="P14" t="s">
        <v>303</v>
      </c>
      <c r="Q14">
        <f t="shared" si="0"/>
        <v>0</v>
      </c>
      <c r="R14">
        <f t="shared" si="1"/>
        <v>0</v>
      </c>
      <c r="S14" s="30" t="s">
        <v>288</v>
      </c>
      <c r="T14" s="30" t="s">
        <v>288</v>
      </c>
      <c r="U14">
        <v>3.2</v>
      </c>
      <c r="V14">
        <v>60.9</v>
      </c>
      <c r="W14">
        <v>50.2</v>
      </c>
      <c r="X14">
        <v>96.3</v>
      </c>
      <c r="Y14" t="s">
        <v>17</v>
      </c>
      <c r="AA14" t="s">
        <v>81</v>
      </c>
      <c r="AC14">
        <v>1</v>
      </c>
      <c r="AD14" t="s">
        <v>55</v>
      </c>
      <c r="AF14" t="s">
        <v>21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x14ac:dyDescent="0.25">
      <c r="A15" t="s">
        <v>12</v>
      </c>
      <c r="B15" t="s">
        <v>13</v>
      </c>
      <c r="C15" s="4">
        <v>45111</v>
      </c>
      <c r="D15" t="s">
        <v>110</v>
      </c>
      <c r="E15" s="5">
        <v>0.83333333333333337</v>
      </c>
      <c r="F15" s="8">
        <v>233659</v>
      </c>
      <c r="G15" s="8" t="s">
        <v>53</v>
      </c>
      <c r="H15" s="8" t="s">
        <v>53</v>
      </c>
      <c r="I15" s="8">
        <v>37434</v>
      </c>
      <c r="J15" t="s">
        <v>47</v>
      </c>
      <c r="K15" t="s">
        <v>15</v>
      </c>
      <c r="L15" t="s">
        <v>23</v>
      </c>
      <c r="M15" s="26">
        <v>5</v>
      </c>
      <c r="N15" t="s">
        <v>27</v>
      </c>
      <c r="O15" t="s">
        <v>27</v>
      </c>
      <c r="P15" t="s">
        <v>303</v>
      </c>
      <c r="Q15">
        <f t="shared" si="0"/>
        <v>0</v>
      </c>
      <c r="R15">
        <f t="shared" si="1"/>
        <v>0</v>
      </c>
      <c r="S15" s="30" t="s">
        <v>288</v>
      </c>
      <c r="T15" s="30" t="s">
        <v>289</v>
      </c>
      <c r="U15">
        <v>3</v>
      </c>
      <c r="V15">
        <v>64.5</v>
      </c>
      <c r="W15">
        <v>49.3</v>
      </c>
      <c r="X15">
        <v>107.4</v>
      </c>
      <c r="Y15" t="s">
        <v>17</v>
      </c>
      <c r="AA15" t="s">
        <v>81</v>
      </c>
      <c r="AC15">
        <v>1</v>
      </c>
      <c r="AD15" t="s">
        <v>55</v>
      </c>
      <c r="AF15" t="s">
        <v>21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x14ac:dyDescent="0.25">
      <c r="A16" t="s">
        <v>12</v>
      </c>
      <c r="B16" t="s">
        <v>13</v>
      </c>
      <c r="C16" s="4">
        <v>45112</v>
      </c>
      <c r="D16" t="s">
        <v>111</v>
      </c>
      <c r="E16" s="5">
        <v>0.375</v>
      </c>
      <c r="F16" s="8">
        <v>233662</v>
      </c>
      <c r="G16" s="8" t="s">
        <v>53</v>
      </c>
      <c r="H16" s="8" t="s">
        <v>53</v>
      </c>
      <c r="I16" s="8">
        <v>51698</v>
      </c>
      <c r="J16" t="s">
        <v>48</v>
      </c>
      <c r="K16" t="s">
        <v>15</v>
      </c>
      <c r="L16" t="s">
        <v>44</v>
      </c>
      <c r="M16" s="26">
        <v>4</v>
      </c>
      <c r="N16" t="s">
        <v>27</v>
      </c>
      <c r="O16" t="s">
        <v>27</v>
      </c>
      <c r="P16" t="s">
        <v>303</v>
      </c>
      <c r="Q16">
        <f t="shared" si="0"/>
        <v>0</v>
      </c>
      <c r="R16">
        <f t="shared" si="1"/>
        <v>0</v>
      </c>
      <c r="S16" s="30" t="s">
        <v>288</v>
      </c>
      <c r="T16" s="30" t="s">
        <v>289</v>
      </c>
      <c r="U16">
        <v>3.15</v>
      </c>
      <c r="V16">
        <v>82.1</v>
      </c>
      <c r="W16">
        <v>48.6</v>
      </c>
      <c r="X16">
        <v>93</v>
      </c>
      <c r="Y16" t="s">
        <v>17</v>
      </c>
      <c r="AA16" t="s">
        <v>81</v>
      </c>
      <c r="AC16">
        <v>1</v>
      </c>
      <c r="AD16" t="s">
        <v>55</v>
      </c>
      <c r="AE16" s="19" t="s">
        <v>49</v>
      </c>
      <c r="AF16" t="s">
        <v>21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x14ac:dyDescent="0.25">
      <c r="A17" t="s">
        <v>12</v>
      </c>
      <c r="B17" t="s">
        <v>13</v>
      </c>
      <c r="C17" s="4">
        <v>45112</v>
      </c>
      <c r="D17" t="s">
        <v>112</v>
      </c>
      <c r="E17" s="5">
        <v>0.40069444444444446</v>
      </c>
      <c r="F17" s="8">
        <v>222450</v>
      </c>
      <c r="G17" s="8" t="s">
        <v>53</v>
      </c>
      <c r="H17" s="8" t="s">
        <v>53</v>
      </c>
      <c r="I17" s="8">
        <v>51699</v>
      </c>
      <c r="J17" t="s">
        <v>51</v>
      </c>
      <c r="K17" t="s">
        <v>15</v>
      </c>
      <c r="L17" t="s">
        <v>23</v>
      </c>
      <c r="M17" s="26">
        <v>4</v>
      </c>
      <c r="N17" t="s">
        <v>27</v>
      </c>
      <c r="O17" t="s">
        <v>27</v>
      </c>
      <c r="P17" t="s">
        <v>303</v>
      </c>
      <c r="Q17">
        <f t="shared" si="0"/>
        <v>0</v>
      </c>
      <c r="R17">
        <f t="shared" si="1"/>
        <v>0</v>
      </c>
      <c r="S17" s="30" t="s">
        <v>288</v>
      </c>
      <c r="T17" s="30" t="s">
        <v>289</v>
      </c>
      <c r="U17">
        <v>2.65</v>
      </c>
      <c r="V17">
        <v>62.6</v>
      </c>
      <c r="W17">
        <v>48.3</v>
      </c>
      <c r="X17">
        <v>97.9</v>
      </c>
      <c r="Y17" t="s">
        <v>17</v>
      </c>
      <c r="AA17" t="s">
        <v>81</v>
      </c>
      <c r="AB17" t="s">
        <v>52</v>
      </c>
      <c r="AC17">
        <v>1</v>
      </c>
      <c r="AD17" t="s">
        <v>55</v>
      </c>
      <c r="AF17" t="s">
        <v>21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 x14ac:dyDescent="0.25">
      <c r="A18" t="s">
        <v>12</v>
      </c>
      <c r="B18" t="s">
        <v>13</v>
      </c>
      <c r="C18" s="4">
        <v>45112</v>
      </c>
      <c r="D18" t="s">
        <v>113</v>
      </c>
      <c r="E18" s="5">
        <v>0.43333333333333335</v>
      </c>
      <c r="F18" s="8" t="s">
        <v>53</v>
      </c>
      <c r="G18" s="8" t="s">
        <v>53</v>
      </c>
      <c r="H18" s="8">
        <v>60624</v>
      </c>
      <c r="I18" s="8">
        <v>51700</v>
      </c>
      <c r="J18" t="s">
        <v>53</v>
      </c>
      <c r="K18" t="s">
        <v>15</v>
      </c>
      <c r="L18" t="s">
        <v>44</v>
      </c>
      <c r="M18" s="9" t="s">
        <v>31</v>
      </c>
      <c r="N18" t="s">
        <v>27</v>
      </c>
      <c r="O18" t="s">
        <v>27</v>
      </c>
      <c r="P18" t="s">
        <v>303</v>
      </c>
      <c r="Q18">
        <f t="shared" si="0"/>
        <v>0</v>
      </c>
      <c r="R18">
        <f t="shared" si="1"/>
        <v>0</v>
      </c>
      <c r="S18" s="30" t="s">
        <v>288</v>
      </c>
      <c r="T18" s="30" t="s">
        <v>288</v>
      </c>
      <c r="U18">
        <v>3</v>
      </c>
      <c r="V18">
        <v>62.2</v>
      </c>
      <c r="W18">
        <v>48.7</v>
      </c>
      <c r="X18">
        <v>99.6</v>
      </c>
      <c r="Y18" t="s">
        <v>17</v>
      </c>
      <c r="AA18" t="s">
        <v>82</v>
      </c>
      <c r="AB18" t="s">
        <v>52</v>
      </c>
      <c r="AC18">
        <v>1</v>
      </c>
      <c r="AD18" t="s">
        <v>55</v>
      </c>
      <c r="AF18" t="s">
        <v>21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 x14ac:dyDescent="0.25">
      <c r="A19" t="s">
        <v>12</v>
      </c>
      <c r="B19" t="s">
        <v>13</v>
      </c>
      <c r="C19" s="4">
        <v>45112</v>
      </c>
      <c r="D19" t="s">
        <v>114</v>
      </c>
      <c r="E19" s="5">
        <v>0.74444444444444446</v>
      </c>
      <c r="F19" s="8" t="s">
        <v>53</v>
      </c>
      <c r="G19" s="8" t="s">
        <v>53</v>
      </c>
      <c r="H19" s="8">
        <v>60625</v>
      </c>
      <c r="I19" s="8">
        <v>51701</v>
      </c>
      <c r="J19" t="s">
        <v>53</v>
      </c>
      <c r="K19" t="s">
        <v>15</v>
      </c>
      <c r="L19" t="s">
        <v>23</v>
      </c>
      <c r="M19" s="9" t="s">
        <v>54</v>
      </c>
      <c r="N19" t="s">
        <v>27</v>
      </c>
      <c r="O19" t="s">
        <v>27</v>
      </c>
      <c r="P19" t="s">
        <v>303</v>
      </c>
      <c r="Q19">
        <f t="shared" si="0"/>
        <v>0</v>
      </c>
      <c r="R19">
        <f t="shared" si="1"/>
        <v>0</v>
      </c>
      <c r="S19" s="30" t="s">
        <v>288</v>
      </c>
      <c r="T19" s="30" t="s">
        <v>288</v>
      </c>
      <c r="U19">
        <v>3.25</v>
      </c>
      <c r="V19">
        <v>62.7</v>
      </c>
      <c r="W19">
        <v>50.2</v>
      </c>
      <c r="X19">
        <v>105</v>
      </c>
      <c r="Y19" t="s">
        <v>17</v>
      </c>
      <c r="AA19" t="s">
        <v>82</v>
      </c>
      <c r="AB19" t="s">
        <v>35</v>
      </c>
      <c r="AC19">
        <v>2</v>
      </c>
      <c r="AD19" t="s">
        <v>55</v>
      </c>
      <c r="AF19" t="s">
        <v>21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 x14ac:dyDescent="0.25">
      <c r="A20" t="s">
        <v>12</v>
      </c>
      <c r="B20" t="s">
        <v>13</v>
      </c>
      <c r="C20" s="4">
        <v>45112</v>
      </c>
      <c r="D20" t="s">
        <v>115</v>
      </c>
      <c r="E20" s="5">
        <v>0.83194444444444438</v>
      </c>
      <c r="F20" s="8" t="s">
        <v>53</v>
      </c>
      <c r="G20" s="8" t="s">
        <v>53</v>
      </c>
      <c r="H20" s="8">
        <v>60635</v>
      </c>
      <c r="I20" s="8">
        <v>51702</v>
      </c>
      <c r="J20" t="s">
        <v>53</v>
      </c>
      <c r="K20" t="s">
        <v>15</v>
      </c>
      <c r="L20" t="s">
        <v>23</v>
      </c>
      <c r="M20" s="26">
        <v>4</v>
      </c>
      <c r="N20" t="s">
        <v>27</v>
      </c>
      <c r="O20" t="s">
        <v>27</v>
      </c>
      <c r="P20" t="s">
        <v>303</v>
      </c>
      <c r="Q20">
        <f t="shared" si="0"/>
        <v>0</v>
      </c>
      <c r="R20">
        <f t="shared" si="1"/>
        <v>0</v>
      </c>
      <c r="S20" s="30" t="s">
        <v>288</v>
      </c>
      <c r="T20" s="30" t="s">
        <v>288</v>
      </c>
      <c r="U20">
        <v>2.95</v>
      </c>
      <c r="V20">
        <v>63.7</v>
      </c>
      <c r="W20">
        <v>49.2</v>
      </c>
      <c r="X20">
        <v>102.1</v>
      </c>
      <c r="Y20" t="s">
        <v>17</v>
      </c>
      <c r="AA20" t="s">
        <v>82</v>
      </c>
      <c r="AC20">
        <v>1</v>
      </c>
      <c r="AD20" t="s">
        <v>55</v>
      </c>
      <c r="AF20" t="s">
        <v>21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 x14ac:dyDescent="0.25">
      <c r="A21" t="s">
        <v>12</v>
      </c>
      <c r="B21" t="s">
        <v>13</v>
      </c>
      <c r="C21" s="4">
        <v>45113</v>
      </c>
      <c r="D21" t="s">
        <v>116</v>
      </c>
      <c r="E21" s="5">
        <v>0.4152777777777778</v>
      </c>
      <c r="F21" s="8" t="s">
        <v>53</v>
      </c>
      <c r="G21" s="8" t="s">
        <v>53</v>
      </c>
      <c r="H21" s="8">
        <v>60631</v>
      </c>
      <c r="I21" s="8">
        <v>51703</v>
      </c>
      <c r="J21" t="s">
        <v>53</v>
      </c>
      <c r="K21" t="s">
        <v>15</v>
      </c>
      <c r="L21" t="s">
        <v>23</v>
      </c>
      <c r="M21" s="26">
        <v>4</v>
      </c>
      <c r="N21" t="s">
        <v>27</v>
      </c>
      <c r="O21" t="s">
        <v>27</v>
      </c>
      <c r="P21" t="s">
        <v>303</v>
      </c>
      <c r="Q21">
        <f t="shared" si="0"/>
        <v>0</v>
      </c>
      <c r="R21">
        <f t="shared" si="1"/>
        <v>0</v>
      </c>
      <c r="S21" s="30" t="s">
        <v>288</v>
      </c>
      <c r="T21" s="30" t="s">
        <v>288</v>
      </c>
      <c r="U21">
        <v>2.9</v>
      </c>
      <c r="V21">
        <v>64.5</v>
      </c>
      <c r="W21">
        <v>49.1</v>
      </c>
      <c r="X21" s="14" t="s">
        <v>41</v>
      </c>
      <c r="Y21" t="s">
        <v>17</v>
      </c>
      <c r="AA21" t="s">
        <v>82</v>
      </c>
      <c r="AC21">
        <v>3</v>
      </c>
      <c r="AD21" t="s">
        <v>55</v>
      </c>
      <c r="AF21" t="s">
        <v>21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 x14ac:dyDescent="0.25">
      <c r="A22" t="s">
        <v>12</v>
      </c>
      <c r="B22" t="s">
        <v>13</v>
      </c>
      <c r="C22" s="4">
        <v>45113</v>
      </c>
      <c r="D22" t="s">
        <v>117</v>
      </c>
      <c r="E22" s="5">
        <v>0.93680555555555556</v>
      </c>
      <c r="F22" s="8" t="s">
        <v>53</v>
      </c>
      <c r="G22" s="8" t="s">
        <v>53</v>
      </c>
      <c r="H22" s="8" t="s">
        <v>53</v>
      </c>
      <c r="I22" s="8">
        <v>51704</v>
      </c>
      <c r="J22" t="s">
        <v>56</v>
      </c>
      <c r="K22" t="s">
        <v>15</v>
      </c>
      <c r="L22" t="s">
        <v>44</v>
      </c>
      <c r="M22" s="9" t="s">
        <v>31</v>
      </c>
      <c r="N22" t="s">
        <v>27</v>
      </c>
      <c r="O22" t="s">
        <v>27</v>
      </c>
      <c r="P22" t="s">
        <v>303</v>
      </c>
      <c r="Q22">
        <f t="shared" si="0"/>
        <v>0</v>
      </c>
      <c r="R22">
        <f t="shared" si="1"/>
        <v>0</v>
      </c>
      <c r="S22" s="30" t="s">
        <v>288</v>
      </c>
      <c r="T22" s="30" t="s">
        <v>288</v>
      </c>
      <c r="U22">
        <v>2.5499999999999998</v>
      </c>
      <c r="V22">
        <v>59.9</v>
      </c>
      <c r="W22">
        <v>49.2</v>
      </c>
      <c r="X22">
        <v>91.4</v>
      </c>
      <c r="Y22" t="s">
        <v>17</v>
      </c>
      <c r="AA22" t="s">
        <v>82</v>
      </c>
      <c r="AC22">
        <v>2</v>
      </c>
      <c r="AD22" t="s">
        <v>55</v>
      </c>
      <c r="AF22" t="s">
        <v>21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</row>
    <row r="23" spans="1:38" hidden="1" x14ac:dyDescent="0.25">
      <c r="A23" t="s">
        <v>12</v>
      </c>
      <c r="B23" t="s">
        <v>13</v>
      </c>
      <c r="C23" s="4">
        <v>45114</v>
      </c>
      <c r="D23" t="s">
        <v>118</v>
      </c>
      <c r="E23" s="5">
        <v>0.48194444444444445</v>
      </c>
      <c r="F23" s="8" t="s">
        <v>53</v>
      </c>
      <c r="G23" s="8" t="s">
        <v>53</v>
      </c>
      <c r="H23" s="8">
        <v>60638</v>
      </c>
      <c r="I23" s="8">
        <v>51705</v>
      </c>
      <c r="J23" t="s">
        <v>53</v>
      </c>
      <c r="K23" t="s">
        <v>15</v>
      </c>
      <c r="L23" t="s">
        <v>44</v>
      </c>
      <c r="M23" s="9" t="s">
        <v>31</v>
      </c>
      <c r="N23" t="s">
        <v>34</v>
      </c>
      <c r="O23" t="s">
        <v>27</v>
      </c>
      <c r="P23" t="s">
        <v>301</v>
      </c>
      <c r="Q23">
        <f t="shared" si="0"/>
        <v>1</v>
      </c>
      <c r="R23">
        <f t="shared" si="1"/>
        <v>1</v>
      </c>
      <c r="S23" s="30" t="s">
        <v>287</v>
      </c>
      <c r="T23" s="30" t="s">
        <v>289</v>
      </c>
      <c r="U23">
        <v>2.9</v>
      </c>
      <c r="V23">
        <v>59.7</v>
      </c>
      <c r="W23">
        <v>49</v>
      </c>
      <c r="X23">
        <v>95.2</v>
      </c>
      <c r="Y23" t="s">
        <v>17</v>
      </c>
      <c r="AA23" t="s">
        <v>82</v>
      </c>
      <c r="AC23">
        <v>2</v>
      </c>
      <c r="AD23" t="s">
        <v>55</v>
      </c>
      <c r="AF23" t="s">
        <v>21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</row>
    <row r="24" spans="1:38" hidden="1" x14ac:dyDescent="0.25">
      <c r="A24" t="s">
        <v>12</v>
      </c>
      <c r="B24" t="s">
        <v>13</v>
      </c>
      <c r="C24" s="4">
        <v>45114</v>
      </c>
      <c r="D24" t="s">
        <v>119</v>
      </c>
      <c r="E24" s="5">
        <v>0.64236111111111105</v>
      </c>
      <c r="F24" s="8" t="s">
        <v>53</v>
      </c>
      <c r="G24" s="8" t="s">
        <v>53</v>
      </c>
      <c r="H24" s="8">
        <v>60643</v>
      </c>
      <c r="I24" s="8">
        <v>51706</v>
      </c>
      <c r="J24" t="s">
        <v>53</v>
      </c>
      <c r="K24" t="s">
        <v>15</v>
      </c>
      <c r="L24" t="s">
        <v>23</v>
      </c>
      <c r="M24" s="9" t="s">
        <v>57</v>
      </c>
      <c r="N24" t="s">
        <v>27</v>
      </c>
      <c r="O24" t="s">
        <v>27</v>
      </c>
      <c r="P24" t="s">
        <v>303</v>
      </c>
      <c r="Q24">
        <f t="shared" si="0"/>
        <v>0</v>
      </c>
      <c r="R24">
        <f t="shared" si="1"/>
        <v>1</v>
      </c>
      <c r="S24" s="30" t="s">
        <v>287</v>
      </c>
      <c r="T24" s="30" t="s">
        <v>287</v>
      </c>
      <c r="U24">
        <v>3.45</v>
      </c>
      <c r="V24">
        <v>61.5</v>
      </c>
      <c r="W24">
        <v>51</v>
      </c>
      <c r="X24">
        <v>106.8</v>
      </c>
      <c r="Y24" t="s">
        <v>17</v>
      </c>
      <c r="AA24" t="s">
        <v>82</v>
      </c>
      <c r="AC24">
        <v>1</v>
      </c>
      <c r="AD24" t="s">
        <v>55</v>
      </c>
      <c r="AF24" t="s">
        <v>21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</row>
    <row r="25" spans="1:38" hidden="1" x14ac:dyDescent="0.25">
      <c r="A25" t="s">
        <v>12</v>
      </c>
      <c r="B25" t="s">
        <v>13</v>
      </c>
      <c r="C25" s="4">
        <v>45115</v>
      </c>
      <c r="D25" t="s">
        <v>120</v>
      </c>
      <c r="E25" s="5">
        <v>0.3888888888888889</v>
      </c>
      <c r="F25" s="8" t="s">
        <v>53</v>
      </c>
      <c r="G25" s="8" t="s">
        <v>53</v>
      </c>
      <c r="H25" s="8">
        <v>60636</v>
      </c>
      <c r="I25" s="8">
        <v>51707</v>
      </c>
      <c r="J25" t="s">
        <v>53</v>
      </c>
      <c r="K25" t="s">
        <v>15</v>
      </c>
      <c r="L25" t="s">
        <v>44</v>
      </c>
      <c r="M25" s="26">
        <v>4</v>
      </c>
      <c r="N25" t="s">
        <v>27</v>
      </c>
      <c r="O25" t="s">
        <v>27</v>
      </c>
      <c r="P25" t="s">
        <v>303</v>
      </c>
      <c r="Q25">
        <f t="shared" si="0"/>
        <v>0</v>
      </c>
      <c r="R25">
        <f t="shared" si="1"/>
        <v>0</v>
      </c>
      <c r="S25" s="30" t="s">
        <v>288</v>
      </c>
      <c r="T25" s="30" t="s">
        <v>288</v>
      </c>
      <c r="U25">
        <v>3.25</v>
      </c>
      <c r="V25">
        <v>59.4</v>
      </c>
      <c r="W25">
        <v>49.1</v>
      </c>
      <c r="X25">
        <v>100.7</v>
      </c>
      <c r="Y25" t="s">
        <v>17</v>
      </c>
      <c r="AA25" t="s">
        <v>82</v>
      </c>
      <c r="AC25">
        <v>2</v>
      </c>
      <c r="AD25" t="s">
        <v>55</v>
      </c>
      <c r="AF25" t="s">
        <v>21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1</v>
      </c>
    </row>
    <row r="26" spans="1:38" hidden="1" x14ac:dyDescent="0.25">
      <c r="A26" t="s">
        <v>12</v>
      </c>
      <c r="B26" t="s">
        <v>13</v>
      </c>
      <c r="C26" s="4">
        <v>45115</v>
      </c>
      <c r="D26" t="s">
        <v>121</v>
      </c>
      <c r="E26" s="5">
        <v>0.59722222222222221</v>
      </c>
      <c r="F26" s="8" t="s">
        <v>53</v>
      </c>
      <c r="G26" s="8" t="s">
        <v>53</v>
      </c>
      <c r="H26" s="8" t="s">
        <v>53</v>
      </c>
      <c r="I26" s="8">
        <v>51708</v>
      </c>
      <c r="J26" s="8" t="s">
        <v>58</v>
      </c>
      <c r="K26" t="s">
        <v>15</v>
      </c>
      <c r="L26" t="s">
        <v>23</v>
      </c>
      <c r="M26" s="9" t="s">
        <v>31</v>
      </c>
      <c r="N26" t="s">
        <v>27</v>
      </c>
      <c r="O26" t="s">
        <v>27</v>
      </c>
      <c r="P26" t="s">
        <v>303</v>
      </c>
      <c r="Q26">
        <f t="shared" si="0"/>
        <v>0</v>
      </c>
      <c r="R26">
        <f t="shared" si="1"/>
        <v>0</v>
      </c>
      <c r="S26" s="30" t="s">
        <v>288</v>
      </c>
      <c r="T26" s="30" t="s">
        <v>288</v>
      </c>
      <c r="U26">
        <v>3.15</v>
      </c>
      <c r="V26">
        <v>59.7</v>
      </c>
      <c r="W26">
        <v>49.3</v>
      </c>
      <c r="X26">
        <v>103.4</v>
      </c>
      <c r="Y26" t="s">
        <v>17</v>
      </c>
      <c r="AA26" t="s">
        <v>82</v>
      </c>
      <c r="AB26" t="s">
        <v>35</v>
      </c>
      <c r="AC26">
        <v>2</v>
      </c>
      <c r="AD26" t="s">
        <v>55</v>
      </c>
      <c r="AF26" t="s">
        <v>21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1</v>
      </c>
    </row>
    <row r="27" spans="1:38" x14ac:dyDescent="0.25">
      <c r="A27" t="s">
        <v>12</v>
      </c>
      <c r="B27" t="s">
        <v>13</v>
      </c>
      <c r="C27" s="4">
        <v>45116</v>
      </c>
      <c r="D27" t="s">
        <v>122</v>
      </c>
      <c r="E27" s="5">
        <v>0.5</v>
      </c>
      <c r="F27" s="8">
        <v>233661</v>
      </c>
      <c r="G27" s="8" t="s">
        <v>53</v>
      </c>
      <c r="H27" s="8" t="s">
        <v>53</v>
      </c>
      <c r="I27" s="8">
        <v>51709</v>
      </c>
      <c r="J27" s="8" t="s">
        <v>59</v>
      </c>
      <c r="K27" t="s">
        <v>15</v>
      </c>
      <c r="L27" t="s">
        <v>44</v>
      </c>
      <c r="M27" s="9" t="s">
        <v>31</v>
      </c>
      <c r="N27" t="s">
        <v>34</v>
      </c>
      <c r="O27" t="s">
        <v>34</v>
      </c>
      <c r="P27" t="s">
        <v>304</v>
      </c>
      <c r="Q27">
        <f t="shared" si="0"/>
        <v>1</v>
      </c>
      <c r="R27">
        <f t="shared" si="1"/>
        <v>1</v>
      </c>
      <c r="S27" s="30" t="s">
        <v>287</v>
      </c>
      <c r="T27" s="30" t="s">
        <v>287</v>
      </c>
      <c r="U27">
        <v>2.65</v>
      </c>
      <c r="V27">
        <v>57.9</v>
      </c>
      <c r="W27">
        <v>48</v>
      </c>
      <c r="X27">
        <v>99.3</v>
      </c>
      <c r="Y27" t="s">
        <v>17</v>
      </c>
      <c r="Z27" t="s">
        <v>126</v>
      </c>
      <c r="AA27" t="s">
        <v>82</v>
      </c>
      <c r="AC27">
        <v>2</v>
      </c>
      <c r="AD27" t="s">
        <v>55</v>
      </c>
      <c r="AF27" t="s">
        <v>21</v>
      </c>
      <c r="AG27">
        <v>1</v>
      </c>
      <c r="AH27">
        <v>1</v>
      </c>
      <c r="AI27">
        <v>0</v>
      </c>
      <c r="AJ27">
        <v>1</v>
      </c>
      <c r="AK27">
        <v>1</v>
      </c>
      <c r="AL27">
        <v>1</v>
      </c>
    </row>
    <row r="28" spans="1:38" hidden="1" x14ac:dyDescent="0.25">
      <c r="A28" t="s">
        <v>12</v>
      </c>
      <c r="B28" t="s">
        <v>13</v>
      </c>
      <c r="C28" s="4">
        <v>45116</v>
      </c>
      <c r="D28" t="s">
        <v>123</v>
      </c>
      <c r="E28" s="5">
        <v>0.73958333333333337</v>
      </c>
      <c r="F28" s="8" t="s">
        <v>53</v>
      </c>
      <c r="G28" s="8" t="s">
        <v>53</v>
      </c>
      <c r="H28" s="8" t="s">
        <v>53</v>
      </c>
      <c r="I28" s="8">
        <v>51710</v>
      </c>
      <c r="J28" s="8" t="s">
        <v>60</v>
      </c>
      <c r="K28" t="s">
        <v>15</v>
      </c>
      <c r="L28" t="s">
        <v>44</v>
      </c>
      <c r="M28" s="26">
        <v>2</v>
      </c>
      <c r="N28" t="s">
        <v>28</v>
      </c>
      <c r="O28" t="s">
        <v>27</v>
      </c>
      <c r="P28" t="s">
        <v>300</v>
      </c>
      <c r="Q28">
        <f t="shared" si="0"/>
        <v>1</v>
      </c>
      <c r="R28">
        <f t="shared" si="1"/>
        <v>1</v>
      </c>
      <c r="S28" s="30" t="s">
        <v>287</v>
      </c>
      <c r="T28" s="30" t="s">
        <v>287</v>
      </c>
      <c r="U28">
        <v>3.3</v>
      </c>
      <c r="V28">
        <v>61.2</v>
      </c>
      <c r="W28">
        <v>50</v>
      </c>
      <c r="X28">
        <v>101.2</v>
      </c>
      <c r="Y28" t="s">
        <v>17</v>
      </c>
      <c r="AA28" t="s">
        <v>82</v>
      </c>
      <c r="AB28" t="s">
        <v>52</v>
      </c>
      <c r="AC28">
        <v>2</v>
      </c>
      <c r="AD28" t="s">
        <v>55</v>
      </c>
      <c r="AF28" t="s">
        <v>21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</row>
    <row r="29" spans="1:38" hidden="1" x14ac:dyDescent="0.25">
      <c r="A29" t="s">
        <v>12</v>
      </c>
      <c r="B29" t="s">
        <v>13</v>
      </c>
      <c r="C29" s="4">
        <v>45160</v>
      </c>
      <c r="D29" t="s">
        <v>184</v>
      </c>
      <c r="E29" s="5">
        <v>0.68125000000000002</v>
      </c>
      <c r="F29" s="8">
        <v>235187</v>
      </c>
      <c r="G29" s="8" t="s">
        <v>53</v>
      </c>
      <c r="H29" s="8" t="s">
        <v>53</v>
      </c>
      <c r="I29" s="8">
        <v>53101</v>
      </c>
      <c r="J29" s="8" t="s">
        <v>190</v>
      </c>
      <c r="K29" s="8" t="s">
        <v>192</v>
      </c>
      <c r="L29" s="8" t="s">
        <v>44</v>
      </c>
      <c r="N29" t="s">
        <v>194</v>
      </c>
      <c r="O29" t="s">
        <v>194</v>
      </c>
      <c r="R29">
        <f t="shared" si="1"/>
        <v>0</v>
      </c>
      <c r="S29" s="30" t="s">
        <v>288</v>
      </c>
      <c r="T29" s="30" t="s">
        <v>288</v>
      </c>
      <c r="U29">
        <v>3.7</v>
      </c>
      <c r="V29">
        <v>65.8</v>
      </c>
      <c r="W29">
        <v>41.1</v>
      </c>
      <c r="X29">
        <v>93.2</v>
      </c>
      <c r="Y29" t="s">
        <v>17</v>
      </c>
      <c r="Z29" t="s">
        <v>126</v>
      </c>
      <c r="AA29" t="s">
        <v>195</v>
      </c>
      <c r="AB29" t="s">
        <v>35</v>
      </c>
      <c r="AC29">
        <v>2</v>
      </c>
      <c r="AE29" s="25" t="s">
        <v>277</v>
      </c>
      <c r="AF29" t="s">
        <v>21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 x14ac:dyDescent="0.25">
      <c r="A30" t="s">
        <v>12</v>
      </c>
      <c r="B30" t="s">
        <v>13</v>
      </c>
      <c r="C30" s="4">
        <v>45160</v>
      </c>
      <c r="D30" t="s">
        <v>185</v>
      </c>
      <c r="E30" s="5">
        <v>0.73125000000000007</v>
      </c>
      <c r="F30" s="8">
        <v>235188</v>
      </c>
      <c r="G30" s="8" t="s">
        <v>53</v>
      </c>
      <c r="H30" s="8" t="s">
        <v>53</v>
      </c>
      <c r="I30" s="8">
        <v>53102</v>
      </c>
      <c r="J30" s="8" t="s">
        <v>197</v>
      </c>
      <c r="K30" s="8" t="s">
        <v>192</v>
      </c>
      <c r="L30" s="8" t="s">
        <v>44</v>
      </c>
      <c r="N30" t="s">
        <v>194</v>
      </c>
      <c r="O30" t="s">
        <v>194</v>
      </c>
      <c r="R30">
        <f t="shared" si="1"/>
        <v>0</v>
      </c>
      <c r="S30" s="30" t="s">
        <v>288</v>
      </c>
      <c r="T30" s="30" t="s">
        <v>288</v>
      </c>
      <c r="U30">
        <v>3.1</v>
      </c>
      <c r="V30">
        <v>64.400000000000006</v>
      </c>
      <c r="W30">
        <v>37.9</v>
      </c>
      <c r="X30">
        <v>95.3</v>
      </c>
      <c r="Y30" t="s">
        <v>17</v>
      </c>
      <c r="Z30" t="s">
        <v>126</v>
      </c>
      <c r="AA30" t="s">
        <v>195</v>
      </c>
      <c r="AC30">
        <v>1</v>
      </c>
      <c r="AE30" s="25" t="s">
        <v>278</v>
      </c>
      <c r="AF30" t="s">
        <v>21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 x14ac:dyDescent="0.25">
      <c r="A31" t="s">
        <v>12</v>
      </c>
      <c r="B31" t="s">
        <v>13</v>
      </c>
      <c r="C31" s="4">
        <v>45160</v>
      </c>
      <c r="D31" t="s">
        <v>186</v>
      </c>
      <c r="E31" s="5">
        <v>0.78472222222222221</v>
      </c>
      <c r="F31" s="8">
        <v>235189</v>
      </c>
      <c r="G31" s="8" t="s">
        <v>53</v>
      </c>
      <c r="H31" s="8" t="s">
        <v>53</v>
      </c>
      <c r="I31" s="8">
        <v>53103</v>
      </c>
      <c r="J31" s="8" t="s">
        <v>198</v>
      </c>
      <c r="K31" s="8" t="s">
        <v>192</v>
      </c>
      <c r="L31" s="8" t="s">
        <v>23</v>
      </c>
      <c r="N31" t="s">
        <v>194</v>
      </c>
      <c r="O31" t="s">
        <v>194</v>
      </c>
      <c r="R31">
        <f t="shared" si="1"/>
        <v>0</v>
      </c>
      <c r="S31" s="30" t="s">
        <v>288</v>
      </c>
      <c r="T31" s="30" t="s">
        <v>288</v>
      </c>
      <c r="U31">
        <v>3.3</v>
      </c>
      <c r="V31">
        <v>64.400000000000006</v>
      </c>
      <c r="W31">
        <v>38</v>
      </c>
      <c r="X31">
        <v>93.2</v>
      </c>
      <c r="Y31" t="s">
        <v>17</v>
      </c>
      <c r="Z31" t="s">
        <v>126</v>
      </c>
      <c r="AA31" t="s">
        <v>195</v>
      </c>
      <c r="AC31">
        <v>1</v>
      </c>
      <c r="AE31" s="24"/>
      <c r="AF31" t="s">
        <v>21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 x14ac:dyDescent="0.25">
      <c r="A32" t="s">
        <v>12</v>
      </c>
      <c r="B32" t="s">
        <v>13</v>
      </c>
      <c r="C32" s="4">
        <v>45160</v>
      </c>
      <c r="D32" t="s">
        <v>187</v>
      </c>
      <c r="E32" s="5">
        <v>0.81527777777777777</v>
      </c>
      <c r="F32" s="8">
        <v>235190</v>
      </c>
      <c r="G32" s="8" t="s">
        <v>53</v>
      </c>
      <c r="H32" s="8" t="s">
        <v>53</v>
      </c>
      <c r="I32" s="8">
        <v>53104</v>
      </c>
      <c r="J32" s="8" t="s">
        <v>199</v>
      </c>
      <c r="K32" s="8" t="s">
        <v>192</v>
      </c>
      <c r="L32" s="8" t="s">
        <v>44</v>
      </c>
      <c r="N32" t="s">
        <v>194</v>
      </c>
      <c r="O32" t="s">
        <v>194</v>
      </c>
      <c r="R32">
        <f t="shared" si="1"/>
        <v>0</v>
      </c>
      <c r="S32" s="30" t="s">
        <v>288</v>
      </c>
      <c r="T32" s="30" t="s">
        <v>288</v>
      </c>
      <c r="U32">
        <v>3.35</v>
      </c>
      <c r="V32">
        <v>63.9</v>
      </c>
      <c r="W32">
        <v>42.3</v>
      </c>
      <c r="X32">
        <v>98</v>
      </c>
      <c r="Y32" t="s">
        <v>17</v>
      </c>
      <c r="Z32" t="s">
        <v>126</v>
      </c>
      <c r="AA32" t="s">
        <v>195</v>
      </c>
      <c r="AC32">
        <v>1</v>
      </c>
      <c r="AE32" s="24" t="s">
        <v>279</v>
      </c>
      <c r="AF32" t="s">
        <v>21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 x14ac:dyDescent="0.25">
      <c r="A33" t="s">
        <v>12</v>
      </c>
      <c r="B33" t="s">
        <v>13</v>
      </c>
      <c r="C33" s="4">
        <v>45160</v>
      </c>
      <c r="D33" t="s">
        <v>188</v>
      </c>
      <c r="E33" s="5">
        <v>0.84930555555555554</v>
      </c>
      <c r="F33" s="8">
        <v>235191</v>
      </c>
      <c r="G33" s="8" t="s">
        <v>53</v>
      </c>
      <c r="H33" s="8" t="s">
        <v>53</v>
      </c>
      <c r="I33" s="8">
        <v>53105</v>
      </c>
      <c r="J33" s="8" t="s">
        <v>200</v>
      </c>
      <c r="K33" s="8" t="s">
        <v>192</v>
      </c>
      <c r="L33" s="8" t="s">
        <v>23</v>
      </c>
      <c r="N33" t="s">
        <v>194</v>
      </c>
      <c r="O33" t="s">
        <v>194</v>
      </c>
      <c r="R33">
        <f t="shared" si="1"/>
        <v>0</v>
      </c>
      <c r="S33" s="30" t="s">
        <v>288</v>
      </c>
      <c r="T33" s="30" t="s">
        <v>288</v>
      </c>
      <c r="U33">
        <v>3.45</v>
      </c>
      <c r="V33">
        <v>63.1</v>
      </c>
      <c r="W33">
        <v>39.4</v>
      </c>
      <c r="X33">
        <v>97.7</v>
      </c>
      <c r="Y33" t="s">
        <v>17</v>
      </c>
      <c r="Z33" t="s">
        <v>126</v>
      </c>
      <c r="AA33" t="s">
        <v>195</v>
      </c>
      <c r="AC33">
        <v>1</v>
      </c>
      <c r="AE33" s="24" t="s">
        <v>280</v>
      </c>
      <c r="AF33" t="s">
        <v>21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 x14ac:dyDescent="0.25">
      <c r="A34" t="s">
        <v>12</v>
      </c>
      <c r="B34" t="s">
        <v>13</v>
      </c>
      <c r="C34" s="4">
        <v>45160</v>
      </c>
      <c r="D34" t="s">
        <v>189</v>
      </c>
      <c r="E34" s="5">
        <v>0.89027777777777783</v>
      </c>
      <c r="F34" s="8">
        <v>235192</v>
      </c>
      <c r="G34" s="8" t="s">
        <v>53</v>
      </c>
      <c r="H34" s="8" t="s">
        <v>53</v>
      </c>
      <c r="I34" s="8">
        <v>53106</v>
      </c>
      <c r="J34" s="8" t="s">
        <v>201</v>
      </c>
      <c r="K34" s="8" t="s">
        <v>192</v>
      </c>
      <c r="L34" s="8" t="s">
        <v>44</v>
      </c>
      <c r="N34" t="s">
        <v>194</v>
      </c>
      <c r="O34" t="s">
        <v>194</v>
      </c>
      <c r="R34">
        <f t="shared" si="1"/>
        <v>0</v>
      </c>
      <c r="S34" s="30" t="s">
        <v>288</v>
      </c>
      <c r="T34" s="30" t="s">
        <v>288</v>
      </c>
      <c r="U34">
        <v>3.35</v>
      </c>
      <c r="V34">
        <v>66.8</v>
      </c>
      <c r="W34">
        <v>42.5</v>
      </c>
      <c r="X34">
        <v>95.9</v>
      </c>
      <c r="Y34" t="s">
        <v>17</v>
      </c>
      <c r="Z34" t="s">
        <v>126</v>
      </c>
      <c r="AA34" t="s">
        <v>195</v>
      </c>
      <c r="AB34" t="s">
        <v>35</v>
      </c>
      <c r="AC34">
        <v>1</v>
      </c>
      <c r="AF34" t="s">
        <v>21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 x14ac:dyDescent="0.25">
      <c r="A35" t="s">
        <v>12</v>
      </c>
      <c r="B35" t="s">
        <v>13</v>
      </c>
      <c r="C35" s="4">
        <v>45161</v>
      </c>
      <c r="D35" t="s">
        <v>202</v>
      </c>
      <c r="E35" s="5">
        <v>0.38472222222222219</v>
      </c>
      <c r="F35" s="8">
        <v>235193</v>
      </c>
      <c r="G35" s="8" t="s">
        <v>53</v>
      </c>
      <c r="H35" s="8" t="s">
        <v>53</v>
      </c>
      <c r="I35" s="8">
        <v>53107</v>
      </c>
      <c r="J35" s="8" t="s">
        <v>210</v>
      </c>
      <c r="K35" s="8" t="s">
        <v>192</v>
      </c>
      <c r="L35" s="8" t="s">
        <v>23</v>
      </c>
      <c r="N35" s="8" t="s">
        <v>194</v>
      </c>
      <c r="O35" s="8" t="s">
        <v>194</v>
      </c>
      <c r="P35" s="8"/>
      <c r="R35">
        <f t="shared" si="1"/>
        <v>0</v>
      </c>
      <c r="S35" s="30" t="s">
        <v>288</v>
      </c>
      <c r="T35" s="30" t="s">
        <v>288</v>
      </c>
      <c r="U35">
        <v>3.7</v>
      </c>
      <c r="V35">
        <v>66.3</v>
      </c>
      <c r="W35">
        <v>44.3</v>
      </c>
      <c r="X35">
        <v>99.3</v>
      </c>
      <c r="Y35" t="s">
        <v>17</v>
      </c>
      <c r="Z35" t="s">
        <v>126</v>
      </c>
      <c r="AA35" t="s">
        <v>195</v>
      </c>
      <c r="AC35">
        <v>1</v>
      </c>
      <c r="AE35" s="19" t="s">
        <v>281</v>
      </c>
      <c r="AF35" t="s">
        <v>21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 x14ac:dyDescent="0.25">
      <c r="A36" t="s">
        <v>12</v>
      </c>
      <c r="B36" t="s">
        <v>13</v>
      </c>
      <c r="C36" s="4">
        <v>45161</v>
      </c>
      <c r="D36" t="s">
        <v>203</v>
      </c>
      <c r="E36" s="5">
        <v>0.42152777777777778</v>
      </c>
      <c r="F36" s="8">
        <v>235194</v>
      </c>
      <c r="G36" s="8" t="s">
        <v>53</v>
      </c>
      <c r="H36" s="8" t="s">
        <v>53</v>
      </c>
      <c r="I36" s="8">
        <v>53108</v>
      </c>
      <c r="J36" s="8" t="s">
        <v>211</v>
      </c>
      <c r="K36" s="8" t="s">
        <v>192</v>
      </c>
      <c r="L36" s="8" t="s">
        <v>23</v>
      </c>
      <c r="N36" s="8" t="s">
        <v>194</v>
      </c>
      <c r="O36" s="8" t="s">
        <v>194</v>
      </c>
      <c r="P36" s="8"/>
      <c r="R36">
        <f t="shared" si="1"/>
        <v>0</v>
      </c>
      <c r="S36" s="30" t="s">
        <v>288</v>
      </c>
      <c r="T36" s="30" t="s">
        <v>288</v>
      </c>
      <c r="U36">
        <v>3.25</v>
      </c>
      <c r="V36">
        <v>66.099999999999994</v>
      </c>
      <c r="W36">
        <v>44.1</v>
      </c>
      <c r="X36">
        <v>100.1</v>
      </c>
      <c r="Y36" t="s">
        <v>17</v>
      </c>
      <c r="Z36" t="s">
        <v>126</v>
      </c>
      <c r="AA36" t="s">
        <v>195</v>
      </c>
      <c r="AC36">
        <v>1</v>
      </c>
      <c r="AF36" t="s">
        <v>21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t="31.5" x14ac:dyDescent="0.25">
      <c r="A37" t="s">
        <v>12</v>
      </c>
      <c r="B37" t="s">
        <v>13</v>
      </c>
      <c r="C37" s="4">
        <v>45161</v>
      </c>
      <c r="D37" t="s">
        <v>204</v>
      </c>
      <c r="E37" s="5">
        <v>0.4548611111111111</v>
      </c>
      <c r="F37" s="8">
        <v>235195</v>
      </c>
      <c r="G37" s="8" t="s">
        <v>53</v>
      </c>
      <c r="H37" s="8" t="s">
        <v>53</v>
      </c>
      <c r="I37" s="8">
        <v>53109</v>
      </c>
      <c r="J37" s="8" t="s">
        <v>212</v>
      </c>
      <c r="K37" s="8" t="s">
        <v>15</v>
      </c>
      <c r="L37" s="8" t="s">
        <v>44</v>
      </c>
      <c r="M37" s="26" t="s">
        <v>193</v>
      </c>
      <c r="N37" s="8" t="s">
        <v>27</v>
      </c>
      <c r="O37" s="8" t="s">
        <v>27</v>
      </c>
      <c r="P37" s="8" t="s">
        <v>303</v>
      </c>
      <c r="Q37">
        <f t="shared" si="0"/>
        <v>0</v>
      </c>
      <c r="R37">
        <f t="shared" si="1"/>
        <v>1</v>
      </c>
      <c r="S37" s="30" t="s">
        <v>287</v>
      </c>
      <c r="T37" s="30" t="s">
        <v>287</v>
      </c>
      <c r="U37">
        <v>3.35</v>
      </c>
      <c r="V37">
        <v>66.7</v>
      </c>
      <c r="W37">
        <v>49.6</v>
      </c>
      <c r="X37">
        <v>99.9</v>
      </c>
      <c r="Y37" t="s">
        <v>17</v>
      </c>
      <c r="Z37" t="s">
        <v>126</v>
      </c>
      <c r="AA37" t="s">
        <v>195</v>
      </c>
      <c r="AC37">
        <v>1</v>
      </c>
      <c r="AE37" s="19" t="s">
        <v>282</v>
      </c>
      <c r="AF37" t="s">
        <v>213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 x14ac:dyDescent="0.25">
      <c r="A38" t="s">
        <v>12</v>
      </c>
      <c r="B38" t="s">
        <v>13</v>
      </c>
      <c r="C38" s="4">
        <v>45161</v>
      </c>
      <c r="D38" t="s">
        <v>205</v>
      </c>
      <c r="E38" s="5">
        <v>0.50347222222222221</v>
      </c>
      <c r="F38" s="8">
        <v>235196</v>
      </c>
      <c r="G38" s="8" t="s">
        <v>53</v>
      </c>
      <c r="H38" s="8" t="s">
        <v>53</v>
      </c>
      <c r="I38" s="8">
        <v>53110</v>
      </c>
      <c r="J38" s="8" t="s">
        <v>214</v>
      </c>
      <c r="K38" s="8" t="s">
        <v>192</v>
      </c>
      <c r="L38" s="8" t="s">
        <v>23</v>
      </c>
      <c r="N38" s="8" t="s">
        <v>194</v>
      </c>
      <c r="O38" s="8" t="s">
        <v>194</v>
      </c>
      <c r="P38" s="8"/>
      <c r="R38">
        <f t="shared" si="1"/>
        <v>0</v>
      </c>
      <c r="S38" s="30" t="s">
        <v>288</v>
      </c>
      <c r="T38" s="30" t="s">
        <v>288</v>
      </c>
      <c r="U38">
        <v>4.0999999999999996</v>
      </c>
      <c r="V38">
        <v>63.6</v>
      </c>
      <c r="W38">
        <v>41.7</v>
      </c>
      <c r="X38">
        <v>98.1</v>
      </c>
      <c r="Y38" t="s">
        <v>17</v>
      </c>
      <c r="Z38" t="s">
        <v>126</v>
      </c>
      <c r="AA38" t="s">
        <v>195</v>
      </c>
      <c r="AC38">
        <v>1</v>
      </c>
      <c r="AE38" s="19" t="s">
        <v>283</v>
      </c>
      <c r="AF38" t="s">
        <v>21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x14ac:dyDescent="0.25">
      <c r="A39" t="s">
        <v>12</v>
      </c>
      <c r="B39" t="s">
        <v>13</v>
      </c>
      <c r="C39" s="4">
        <v>45161</v>
      </c>
      <c r="D39" t="s">
        <v>206</v>
      </c>
      <c r="E39" s="5">
        <v>0.5444444444444444</v>
      </c>
      <c r="F39" s="8">
        <v>235197</v>
      </c>
      <c r="G39" s="8" t="s">
        <v>53</v>
      </c>
      <c r="H39" s="8" t="s">
        <v>53</v>
      </c>
      <c r="I39" s="8">
        <v>53111</v>
      </c>
      <c r="J39" s="8" t="s">
        <v>215</v>
      </c>
      <c r="K39" s="8" t="s">
        <v>15</v>
      </c>
      <c r="L39" s="8" t="s">
        <v>44</v>
      </c>
      <c r="M39" s="26" t="s">
        <v>193</v>
      </c>
      <c r="N39" s="8" t="s">
        <v>27</v>
      </c>
      <c r="O39" s="8" t="s">
        <v>27</v>
      </c>
      <c r="P39" s="8" t="s">
        <v>303</v>
      </c>
      <c r="Q39">
        <f t="shared" si="0"/>
        <v>0</v>
      </c>
      <c r="R39">
        <f t="shared" si="1"/>
        <v>0</v>
      </c>
      <c r="S39" s="30" t="s">
        <v>288</v>
      </c>
      <c r="T39" s="30" t="s">
        <v>288</v>
      </c>
      <c r="U39">
        <v>2.95</v>
      </c>
      <c r="V39">
        <v>62.9</v>
      </c>
      <c r="W39">
        <v>49.4</v>
      </c>
      <c r="X39">
        <v>100</v>
      </c>
      <c r="Y39" t="s">
        <v>17</v>
      </c>
      <c r="Z39" t="s">
        <v>126</v>
      </c>
      <c r="AA39" t="s">
        <v>195</v>
      </c>
      <c r="AC39">
        <v>1</v>
      </c>
      <c r="AF39" t="s">
        <v>213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 x14ac:dyDescent="0.25">
      <c r="A40" t="s">
        <v>12</v>
      </c>
      <c r="B40" t="s">
        <v>13</v>
      </c>
      <c r="C40" s="4">
        <v>45161</v>
      </c>
      <c r="D40" t="s">
        <v>207</v>
      </c>
      <c r="E40" s="5">
        <v>0.64583333333333337</v>
      </c>
      <c r="F40" s="8">
        <v>235198</v>
      </c>
      <c r="G40" s="8" t="s">
        <v>53</v>
      </c>
      <c r="H40" s="8" t="s">
        <v>53</v>
      </c>
      <c r="I40" s="8">
        <v>53112</v>
      </c>
      <c r="J40" s="8" t="s">
        <v>216</v>
      </c>
      <c r="K40" s="8" t="s">
        <v>192</v>
      </c>
      <c r="L40" s="8" t="s">
        <v>44</v>
      </c>
      <c r="N40" s="8" t="s">
        <v>194</v>
      </c>
      <c r="O40" s="8" t="s">
        <v>194</v>
      </c>
      <c r="P40" s="8"/>
      <c r="R40">
        <f t="shared" si="1"/>
        <v>0</v>
      </c>
      <c r="S40" s="30" t="s">
        <v>288</v>
      </c>
      <c r="T40" s="30" t="s">
        <v>288</v>
      </c>
      <c r="U40">
        <v>3.55</v>
      </c>
      <c r="V40">
        <v>66.8</v>
      </c>
      <c r="W40">
        <v>43.6</v>
      </c>
      <c r="X40">
        <v>97.2</v>
      </c>
      <c r="Y40" t="s">
        <v>17</v>
      </c>
      <c r="Z40" t="s">
        <v>126</v>
      </c>
      <c r="AA40" t="s">
        <v>195</v>
      </c>
      <c r="AC40">
        <v>1</v>
      </c>
      <c r="AE40" s="19" t="s">
        <v>284</v>
      </c>
      <c r="AF40" t="s">
        <v>21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x14ac:dyDescent="0.25">
      <c r="A41" t="s">
        <v>12</v>
      </c>
      <c r="B41" t="s">
        <v>13</v>
      </c>
      <c r="C41" s="4">
        <v>45161</v>
      </c>
      <c r="D41" t="s">
        <v>208</v>
      </c>
      <c r="E41" s="5">
        <v>0.68194444444444446</v>
      </c>
      <c r="F41" s="8">
        <v>235199</v>
      </c>
      <c r="G41" s="8" t="s">
        <v>53</v>
      </c>
      <c r="H41" s="8" t="s">
        <v>53</v>
      </c>
      <c r="I41" s="8">
        <v>53113</v>
      </c>
      <c r="J41" s="8" t="s">
        <v>217</v>
      </c>
      <c r="K41" s="8" t="s">
        <v>15</v>
      </c>
      <c r="L41" s="8" t="s">
        <v>44</v>
      </c>
      <c r="M41" s="9" t="s">
        <v>31</v>
      </c>
      <c r="N41" s="8" t="s">
        <v>27</v>
      </c>
      <c r="O41" s="8" t="s">
        <v>28</v>
      </c>
      <c r="P41" s="8" t="s">
        <v>300</v>
      </c>
      <c r="Q41">
        <f t="shared" si="0"/>
        <v>1</v>
      </c>
      <c r="R41">
        <f t="shared" si="1"/>
        <v>1</v>
      </c>
      <c r="S41" s="30" t="s">
        <v>287</v>
      </c>
      <c r="T41" s="30" t="s">
        <v>287</v>
      </c>
      <c r="U41">
        <v>2.6</v>
      </c>
      <c r="V41">
        <v>63.2</v>
      </c>
      <c r="W41">
        <v>50.3</v>
      </c>
      <c r="X41">
        <v>100.4</v>
      </c>
      <c r="Y41" t="s">
        <v>17</v>
      </c>
      <c r="Z41" t="s">
        <v>126</v>
      </c>
      <c r="AA41" t="s">
        <v>195</v>
      </c>
      <c r="AC41">
        <v>1</v>
      </c>
      <c r="AF41" t="s">
        <v>213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x14ac:dyDescent="0.25">
      <c r="A42" t="s">
        <v>12</v>
      </c>
      <c r="B42" t="s">
        <v>13</v>
      </c>
      <c r="C42" s="4">
        <v>45161</v>
      </c>
      <c r="D42" t="s">
        <v>209</v>
      </c>
      <c r="E42" s="5">
        <v>0.78125</v>
      </c>
      <c r="F42" s="8">
        <v>235200</v>
      </c>
      <c r="G42" s="8" t="s">
        <v>53</v>
      </c>
      <c r="H42" s="8" t="s">
        <v>53</v>
      </c>
      <c r="I42" s="8">
        <v>53114</v>
      </c>
      <c r="J42" s="8" t="s">
        <v>218</v>
      </c>
      <c r="K42" s="8" t="s">
        <v>15</v>
      </c>
      <c r="L42" s="8" t="s">
        <v>23</v>
      </c>
      <c r="M42" s="26">
        <v>6</v>
      </c>
      <c r="N42" s="8" t="s">
        <v>28</v>
      </c>
      <c r="O42" s="8" t="s">
        <v>27</v>
      </c>
      <c r="P42" s="8" t="s">
        <v>300</v>
      </c>
      <c r="Q42">
        <f t="shared" si="0"/>
        <v>1</v>
      </c>
      <c r="R42">
        <f t="shared" si="1"/>
        <v>1</v>
      </c>
      <c r="S42" s="30" t="s">
        <v>287</v>
      </c>
      <c r="T42" s="30" t="s">
        <v>287</v>
      </c>
      <c r="U42">
        <v>3.4</v>
      </c>
      <c r="V42">
        <v>64.8</v>
      </c>
      <c r="W42">
        <v>50.4</v>
      </c>
      <c r="X42">
        <v>98.1</v>
      </c>
      <c r="Y42" t="s">
        <v>17</v>
      </c>
      <c r="Z42" t="s">
        <v>126</v>
      </c>
      <c r="AA42" t="s">
        <v>195</v>
      </c>
      <c r="AB42" t="s">
        <v>35</v>
      </c>
      <c r="AC42">
        <v>1</v>
      </c>
      <c r="AF42" t="s">
        <v>21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x14ac:dyDescent="0.25">
      <c r="A43" t="s">
        <v>12</v>
      </c>
      <c r="B43" t="s">
        <v>13</v>
      </c>
      <c r="C43" s="4">
        <v>45161</v>
      </c>
      <c r="D43" t="s">
        <v>219</v>
      </c>
      <c r="E43" s="5">
        <v>0.80902777777777779</v>
      </c>
      <c r="F43" s="8">
        <v>235201</v>
      </c>
      <c r="G43" s="8" t="s">
        <v>53</v>
      </c>
      <c r="H43" s="8" t="s">
        <v>53</v>
      </c>
      <c r="I43" s="8">
        <v>53115</v>
      </c>
      <c r="J43" s="8" t="s">
        <v>224</v>
      </c>
      <c r="K43" s="8" t="s">
        <v>15</v>
      </c>
      <c r="L43" s="8" t="s">
        <v>23</v>
      </c>
      <c r="M43" s="26" t="s">
        <v>193</v>
      </c>
      <c r="N43" s="8" t="s">
        <v>225</v>
      </c>
      <c r="O43" s="8" t="s">
        <v>27</v>
      </c>
      <c r="P43" s="8" t="s">
        <v>303</v>
      </c>
      <c r="Q43">
        <f t="shared" si="0"/>
        <v>0</v>
      </c>
      <c r="R43">
        <f t="shared" si="1"/>
        <v>0</v>
      </c>
      <c r="S43" s="30" t="s">
        <v>288</v>
      </c>
      <c r="T43" s="30" t="s">
        <v>288</v>
      </c>
      <c r="U43">
        <v>2.8</v>
      </c>
      <c r="V43">
        <v>64.7</v>
      </c>
      <c r="W43">
        <v>50.2</v>
      </c>
      <c r="X43">
        <v>100.5</v>
      </c>
      <c r="Y43" t="s">
        <v>17</v>
      </c>
      <c r="Z43" t="s">
        <v>126</v>
      </c>
      <c r="AA43" t="s">
        <v>195</v>
      </c>
      <c r="AC43">
        <v>1</v>
      </c>
      <c r="AE43" s="19" t="s">
        <v>285</v>
      </c>
      <c r="AF43" t="s">
        <v>21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x14ac:dyDescent="0.25">
      <c r="A44" t="s">
        <v>12</v>
      </c>
      <c r="B44" t="s">
        <v>13</v>
      </c>
      <c r="C44" s="4">
        <v>45161</v>
      </c>
      <c r="D44" t="s">
        <v>220</v>
      </c>
      <c r="E44" s="5">
        <v>0.84722222222222221</v>
      </c>
      <c r="F44" s="8">
        <v>235202</v>
      </c>
      <c r="G44" s="8" t="s">
        <v>53</v>
      </c>
      <c r="H44" s="8" t="s">
        <v>53</v>
      </c>
      <c r="I44" s="8">
        <v>53116</v>
      </c>
      <c r="J44" s="8" t="s">
        <v>226</v>
      </c>
      <c r="K44" s="8" t="s">
        <v>15</v>
      </c>
      <c r="L44" s="8" t="s">
        <v>23</v>
      </c>
      <c r="M44" s="26">
        <v>5</v>
      </c>
      <c r="N44" s="8" t="s">
        <v>27</v>
      </c>
      <c r="O44" s="8" t="s">
        <v>27</v>
      </c>
      <c r="P44" s="8" t="s">
        <v>303</v>
      </c>
      <c r="Q44">
        <f t="shared" si="0"/>
        <v>0</v>
      </c>
      <c r="R44">
        <f t="shared" si="1"/>
        <v>0</v>
      </c>
      <c r="S44" s="30" t="s">
        <v>288</v>
      </c>
      <c r="T44" s="30" t="s">
        <v>288</v>
      </c>
      <c r="U44">
        <v>2.9</v>
      </c>
      <c r="V44">
        <v>63.1</v>
      </c>
      <c r="W44">
        <v>49.4</v>
      </c>
      <c r="X44">
        <v>97.6</v>
      </c>
      <c r="Y44" t="s">
        <v>17</v>
      </c>
      <c r="Z44" t="s">
        <v>126</v>
      </c>
      <c r="AA44" t="s">
        <v>195</v>
      </c>
      <c r="AC44">
        <v>1</v>
      </c>
      <c r="AF44" t="s">
        <v>21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x14ac:dyDescent="0.25">
      <c r="A45" t="s">
        <v>12</v>
      </c>
      <c r="B45" t="s">
        <v>13</v>
      </c>
      <c r="C45" s="4">
        <v>45161</v>
      </c>
      <c r="D45" t="s">
        <v>221</v>
      </c>
      <c r="E45" s="5">
        <v>0.87708333333333333</v>
      </c>
      <c r="F45" s="8">
        <v>235203</v>
      </c>
      <c r="G45" s="8" t="s">
        <v>53</v>
      </c>
      <c r="H45" s="8" t="s">
        <v>53</v>
      </c>
      <c r="I45" s="8">
        <v>53117</v>
      </c>
      <c r="J45" s="8" t="s">
        <v>227</v>
      </c>
      <c r="K45" s="8" t="s">
        <v>15</v>
      </c>
      <c r="L45" s="8" t="s">
        <v>23</v>
      </c>
      <c r="M45" s="26" t="s">
        <v>193</v>
      </c>
      <c r="N45" s="8" t="s">
        <v>27</v>
      </c>
      <c r="O45" s="8" t="s">
        <v>34</v>
      </c>
      <c r="P45" s="8" t="s">
        <v>301</v>
      </c>
      <c r="Q45">
        <f t="shared" si="0"/>
        <v>1</v>
      </c>
      <c r="R45">
        <f t="shared" si="1"/>
        <v>1</v>
      </c>
      <c r="S45" s="30" t="s">
        <v>287</v>
      </c>
      <c r="T45" s="30" t="s">
        <v>287</v>
      </c>
      <c r="U45">
        <v>2.9</v>
      </c>
      <c r="V45">
        <v>62.1</v>
      </c>
      <c r="W45">
        <v>50</v>
      </c>
      <c r="X45">
        <v>96.4</v>
      </c>
      <c r="Y45" t="s">
        <v>17</v>
      </c>
      <c r="Z45" t="s">
        <v>126</v>
      </c>
      <c r="AA45" t="s">
        <v>195</v>
      </c>
      <c r="AC45">
        <v>1</v>
      </c>
      <c r="AE45" s="19" t="s">
        <v>228</v>
      </c>
      <c r="AF45" t="s">
        <v>213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x14ac:dyDescent="0.25">
      <c r="A46" t="s">
        <v>12</v>
      </c>
      <c r="B46" t="s">
        <v>13</v>
      </c>
      <c r="C46" s="4">
        <v>45161</v>
      </c>
      <c r="D46" t="s">
        <v>222</v>
      </c>
      <c r="E46" s="5">
        <v>0.90555555555555556</v>
      </c>
      <c r="F46" s="8">
        <v>235204</v>
      </c>
      <c r="G46" s="8" t="s">
        <v>53</v>
      </c>
      <c r="H46" s="8" t="s">
        <v>53</v>
      </c>
      <c r="I46" s="8">
        <v>53118</v>
      </c>
      <c r="J46" s="8" t="s">
        <v>230</v>
      </c>
      <c r="K46" s="8" t="s">
        <v>15</v>
      </c>
      <c r="L46" s="8" t="s">
        <v>44</v>
      </c>
      <c r="M46" s="9" t="s">
        <v>31</v>
      </c>
      <c r="N46" s="8" t="s">
        <v>27</v>
      </c>
      <c r="O46" s="8" t="s">
        <v>27</v>
      </c>
      <c r="P46" s="8" t="s">
        <v>303</v>
      </c>
      <c r="Q46">
        <f t="shared" si="0"/>
        <v>0</v>
      </c>
      <c r="R46">
        <f t="shared" si="1"/>
        <v>0</v>
      </c>
      <c r="S46" s="30" t="s">
        <v>288</v>
      </c>
      <c r="T46" s="30" t="s">
        <v>288</v>
      </c>
      <c r="U46">
        <v>2.5</v>
      </c>
      <c r="V46">
        <v>62.2</v>
      </c>
      <c r="W46">
        <v>48.5</v>
      </c>
      <c r="X46">
        <v>97.5</v>
      </c>
      <c r="Y46" t="s">
        <v>17</v>
      </c>
      <c r="Z46" t="s">
        <v>126</v>
      </c>
      <c r="AA46" t="s">
        <v>195</v>
      </c>
      <c r="AC46">
        <v>1</v>
      </c>
      <c r="AF46" t="s">
        <v>21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x14ac:dyDescent="0.25">
      <c r="A47" t="s">
        <v>12</v>
      </c>
      <c r="B47" t="s">
        <v>13</v>
      </c>
      <c r="C47" s="4">
        <v>45162</v>
      </c>
      <c r="D47" t="s">
        <v>223</v>
      </c>
      <c r="E47" s="5">
        <v>0.35138888888888892</v>
      </c>
      <c r="F47" s="8">
        <v>222289</v>
      </c>
      <c r="G47" s="8" t="s">
        <v>53</v>
      </c>
      <c r="H47" s="8" t="s">
        <v>53</v>
      </c>
      <c r="I47" s="8">
        <v>53119</v>
      </c>
      <c r="J47" s="8" t="s">
        <v>231</v>
      </c>
      <c r="K47" s="8" t="s">
        <v>15</v>
      </c>
      <c r="L47" s="8" t="s">
        <v>44</v>
      </c>
      <c r="M47" s="26" t="s">
        <v>193</v>
      </c>
      <c r="N47" s="8" t="s">
        <v>27</v>
      </c>
      <c r="O47" s="8" t="s">
        <v>34</v>
      </c>
      <c r="P47" s="8" t="s">
        <v>301</v>
      </c>
      <c r="Q47">
        <f t="shared" si="0"/>
        <v>1</v>
      </c>
      <c r="R47">
        <f t="shared" si="1"/>
        <v>1</v>
      </c>
      <c r="S47" s="30" t="s">
        <v>287</v>
      </c>
      <c r="T47" s="30" t="s">
        <v>287</v>
      </c>
      <c r="U47">
        <v>2.75</v>
      </c>
      <c r="V47">
        <v>58.4</v>
      </c>
      <c r="W47">
        <v>49.8</v>
      </c>
      <c r="X47">
        <v>106.6</v>
      </c>
      <c r="Y47" t="s">
        <v>17</v>
      </c>
      <c r="Z47" t="s">
        <v>126</v>
      </c>
      <c r="AA47" t="s">
        <v>195</v>
      </c>
      <c r="AC47">
        <v>1</v>
      </c>
      <c r="AE47" s="19" t="s">
        <v>232</v>
      </c>
      <c r="AF47" t="s">
        <v>21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x14ac:dyDescent="0.25">
      <c r="A48" t="s">
        <v>12</v>
      </c>
      <c r="B48" t="s">
        <v>13</v>
      </c>
      <c r="C48" s="4">
        <v>45162</v>
      </c>
      <c r="D48" t="s">
        <v>234</v>
      </c>
      <c r="E48" s="5">
        <v>0.3840277777777778</v>
      </c>
      <c r="F48" s="8">
        <v>201284</v>
      </c>
      <c r="G48" s="8" t="s">
        <v>53</v>
      </c>
      <c r="H48" s="8" t="s">
        <v>53</v>
      </c>
      <c r="I48" s="8">
        <v>53120</v>
      </c>
      <c r="J48" s="8" t="s">
        <v>235</v>
      </c>
      <c r="K48" s="8" t="s">
        <v>15</v>
      </c>
      <c r="L48" s="8" t="s">
        <v>23</v>
      </c>
      <c r="M48" s="26">
        <v>6</v>
      </c>
      <c r="N48" s="8" t="s">
        <v>34</v>
      </c>
      <c r="O48" s="8" t="s">
        <v>28</v>
      </c>
      <c r="P48" s="8" t="s">
        <v>305</v>
      </c>
      <c r="Q48">
        <f t="shared" si="0"/>
        <v>1</v>
      </c>
      <c r="R48">
        <f t="shared" si="1"/>
        <v>1</v>
      </c>
      <c r="S48" s="30" t="s">
        <v>287</v>
      </c>
      <c r="T48" s="30" t="s">
        <v>287</v>
      </c>
      <c r="U48">
        <v>2.5499999999999998</v>
      </c>
      <c r="V48">
        <v>60.7</v>
      </c>
      <c r="W48">
        <v>47.9</v>
      </c>
      <c r="X48">
        <v>95</v>
      </c>
      <c r="Y48" t="s">
        <v>17</v>
      </c>
      <c r="Z48" t="s">
        <v>126</v>
      </c>
      <c r="AA48" t="s">
        <v>195</v>
      </c>
      <c r="AC48">
        <v>1</v>
      </c>
      <c r="AE48" s="19" t="s">
        <v>233</v>
      </c>
      <c r="AF48" t="s">
        <v>213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1048576" spans="13:13" x14ac:dyDescent="0.25">
      <c r="M1048576" s="9"/>
    </row>
  </sheetData>
  <autoFilter ref="A1:AL48" xr:uid="{00000000-0001-0000-0100-000000000000}">
    <filterColumn colId="5">
      <filters>
        <filter val="201284"/>
        <filter val="222289"/>
        <filter val="222450"/>
        <filter val="233658"/>
        <filter val="233659"/>
        <filter val="233660"/>
        <filter val="233661"/>
        <filter val="233662"/>
        <filter val="233663"/>
        <filter val="233664"/>
        <filter val="233665"/>
        <filter val="233666"/>
        <filter val="233667"/>
        <filter val="233668"/>
        <filter val="233669"/>
        <filter val="233670"/>
        <filter val="233671"/>
        <filter val="233672"/>
        <filter val="235195"/>
        <filter val="235197"/>
        <filter val="235199"/>
        <filter val="235200"/>
        <filter val="235201"/>
        <filter val="235202"/>
        <filter val="235203"/>
        <filter val="235204"/>
      </filters>
    </filterColumn>
    <filterColumn colId="10">
      <filters>
        <filter val="adult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9"/>
  <sheetViews>
    <sheetView zoomScale="75" workbookViewId="0">
      <pane ySplit="1" topLeftCell="A50" activePane="bottomLeft" state="frozen"/>
      <selection pane="bottomLeft" activeCell="C2" sqref="C2"/>
    </sheetView>
  </sheetViews>
  <sheetFormatPr baseColWidth="10" defaultRowHeight="15.75" x14ac:dyDescent="0.25"/>
  <cols>
    <col min="3" max="3" width="16.125" customWidth="1"/>
    <col min="4" max="4" width="7.5" customWidth="1"/>
    <col min="5" max="5" width="17.625" customWidth="1"/>
    <col min="6" max="6" width="7.125" customWidth="1"/>
    <col min="7" max="7" width="9.5" customWidth="1"/>
    <col min="8" max="8" width="7" customWidth="1"/>
    <col min="9" max="9" width="6.125" customWidth="1"/>
    <col min="10" max="10" width="22.625" customWidth="1"/>
    <col min="11" max="11" width="14.625" customWidth="1"/>
    <col min="12" max="12" width="17.375" customWidth="1"/>
    <col min="13" max="13" width="15.375" style="15" customWidth="1"/>
    <col min="14" max="14" width="19.125" style="18" customWidth="1"/>
    <col min="15" max="15" width="43.5" customWidth="1"/>
  </cols>
  <sheetData>
    <row r="1" spans="1:15" x14ac:dyDescent="0.25">
      <c r="A1" t="s">
        <v>124</v>
      </c>
      <c r="B1" t="s">
        <v>50</v>
      </c>
      <c r="C1" t="s">
        <v>191</v>
      </c>
      <c r="D1" t="s">
        <v>4</v>
      </c>
      <c r="E1" t="s">
        <v>129</v>
      </c>
      <c r="F1" t="s">
        <v>22</v>
      </c>
      <c r="G1" t="s">
        <v>16</v>
      </c>
      <c r="H1" s="6" t="s">
        <v>25</v>
      </c>
      <c r="I1" s="6" t="s">
        <v>26</v>
      </c>
      <c r="J1" t="s">
        <v>131</v>
      </c>
      <c r="K1" t="s">
        <v>137</v>
      </c>
      <c r="L1" t="s">
        <v>128</v>
      </c>
      <c r="M1" s="15" t="s">
        <v>169</v>
      </c>
      <c r="N1" s="18" t="s">
        <v>170</v>
      </c>
      <c r="O1" t="s">
        <v>9</v>
      </c>
    </row>
    <row r="2" spans="1:15" x14ac:dyDescent="0.25">
      <c r="D2" t="s">
        <v>142</v>
      </c>
      <c r="F2" t="s">
        <v>44</v>
      </c>
      <c r="G2">
        <v>4</v>
      </c>
      <c r="H2" t="s">
        <v>27</v>
      </c>
      <c r="I2" t="s">
        <v>27</v>
      </c>
      <c r="J2" t="s">
        <v>139</v>
      </c>
      <c r="L2" s="4">
        <v>45112</v>
      </c>
      <c r="M2" s="15">
        <v>0.83333333333333337</v>
      </c>
      <c r="N2" s="18">
        <v>5.45</v>
      </c>
      <c r="O2" t="s">
        <v>133</v>
      </c>
    </row>
    <row r="3" spans="1:15" x14ac:dyDescent="0.25">
      <c r="D3" t="s">
        <v>142</v>
      </c>
      <c r="F3" t="s">
        <v>44</v>
      </c>
      <c r="G3">
        <v>4</v>
      </c>
      <c r="H3" t="s">
        <v>27</v>
      </c>
      <c r="I3" t="s">
        <v>27</v>
      </c>
      <c r="J3" t="s">
        <v>139</v>
      </c>
      <c r="L3" s="4">
        <v>45113</v>
      </c>
      <c r="M3" s="15">
        <v>0.56388888888888888</v>
      </c>
      <c r="N3" s="18">
        <v>9.49</v>
      </c>
      <c r="O3" t="s">
        <v>134</v>
      </c>
    </row>
    <row r="4" spans="1:15" x14ac:dyDescent="0.25">
      <c r="D4" t="s">
        <v>142</v>
      </c>
      <c r="F4" t="s">
        <v>44</v>
      </c>
      <c r="G4">
        <v>4</v>
      </c>
      <c r="H4" t="s">
        <v>27</v>
      </c>
      <c r="I4" t="s">
        <v>27</v>
      </c>
      <c r="J4" t="s">
        <v>139</v>
      </c>
      <c r="L4" s="4">
        <v>45114</v>
      </c>
      <c r="M4" s="15">
        <v>0.73333333333333339</v>
      </c>
      <c r="N4" s="18">
        <v>2.36</v>
      </c>
      <c r="O4" t="s">
        <v>134</v>
      </c>
    </row>
    <row r="5" spans="1:15" x14ac:dyDescent="0.25">
      <c r="D5" t="s">
        <v>142</v>
      </c>
      <c r="F5" t="s">
        <v>44</v>
      </c>
      <c r="G5">
        <v>4</v>
      </c>
      <c r="H5" t="s">
        <v>27</v>
      </c>
      <c r="I5" t="s">
        <v>27</v>
      </c>
      <c r="J5" t="s">
        <v>139</v>
      </c>
      <c r="L5" s="4">
        <v>45115</v>
      </c>
      <c r="M5" s="15">
        <v>0.81041666666666667</v>
      </c>
      <c r="N5" s="18">
        <v>6.08</v>
      </c>
      <c r="O5" t="s">
        <v>134</v>
      </c>
    </row>
    <row r="6" spans="1:15" x14ac:dyDescent="0.25">
      <c r="D6" t="s">
        <v>142</v>
      </c>
      <c r="F6" t="s">
        <v>44</v>
      </c>
      <c r="G6">
        <v>4</v>
      </c>
      <c r="H6" t="s">
        <v>27</v>
      </c>
      <c r="I6" t="s">
        <v>27</v>
      </c>
      <c r="J6" t="s">
        <v>139</v>
      </c>
      <c r="L6" s="4">
        <v>45116</v>
      </c>
      <c r="M6" s="15">
        <v>0.37777777777777777</v>
      </c>
      <c r="N6" s="18">
        <v>5.03</v>
      </c>
      <c r="O6" t="s">
        <v>133</v>
      </c>
    </row>
    <row r="7" spans="1:15" x14ac:dyDescent="0.25">
      <c r="D7" t="s">
        <v>148</v>
      </c>
      <c r="G7">
        <v>4</v>
      </c>
      <c r="H7" t="s">
        <v>27</v>
      </c>
      <c r="I7" t="s">
        <v>27</v>
      </c>
      <c r="J7" t="s">
        <v>139</v>
      </c>
      <c r="L7" s="4">
        <v>45114</v>
      </c>
      <c r="M7" s="15">
        <v>0.45555555555555555</v>
      </c>
      <c r="N7" s="18">
        <v>2.21</v>
      </c>
      <c r="O7" t="s">
        <v>133</v>
      </c>
    </row>
    <row r="8" spans="1:15" x14ac:dyDescent="0.25">
      <c r="D8" t="s">
        <v>148</v>
      </c>
      <c r="G8">
        <v>4</v>
      </c>
      <c r="H8" t="s">
        <v>27</v>
      </c>
      <c r="I8" t="s">
        <v>27</v>
      </c>
      <c r="J8" t="s">
        <v>139</v>
      </c>
      <c r="L8" s="4">
        <v>45116</v>
      </c>
      <c r="M8" s="15">
        <v>0.81041666666666667</v>
      </c>
      <c r="N8" s="18">
        <v>10.35</v>
      </c>
      <c r="O8" t="s">
        <v>134</v>
      </c>
    </row>
    <row r="9" spans="1:15" x14ac:dyDescent="0.25">
      <c r="D9" t="s">
        <v>141</v>
      </c>
      <c r="G9">
        <v>2</v>
      </c>
      <c r="H9" t="s">
        <v>27</v>
      </c>
      <c r="I9" t="s">
        <v>27</v>
      </c>
      <c r="J9" t="s">
        <v>139</v>
      </c>
      <c r="L9" s="4">
        <v>45112</v>
      </c>
      <c r="M9" s="15">
        <v>0.56944444444444442</v>
      </c>
      <c r="N9" s="18">
        <v>4.37</v>
      </c>
      <c r="O9" t="s">
        <v>150</v>
      </c>
    </row>
    <row r="10" spans="1:15" x14ac:dyDescent="0.25">
      <c r="D10" t="s">
        <v>141</v>
      </c>
      <c r="G10">
        <v>2</v>
      </c>
      <c r="H10" t="s">
        <v>27</v>
      </c>
      <c r="I10" t="s">
        <v>27</v>
      </c>
      <c r="J10" t="s">
        <v>139</v>
      </c>
      <c r="L10" s="4">
        <v>45114</v>
      </c>
      <c r="M10" s="15">
        <v>0.28958333333333336</v>
      </c>
      <c r="N10" s="18">
        <v>1.53</v>
      </c>
      <c r="O10" t="s">
        <v>150</v>
      </c>
    </row>
    <row r="11" spans="1:15" x14ac:dyDescent="0.25">
      <c r="D11" t="s">
        <v>144</v>
      </c>
      <c r="G11">
        <v>3</v>
      </c>
      <c r="H11" t="s">
        <v>28</v>
      </c>
      <c r="I11" t="s">
        <v>28</v>
      </c>
      <c r="J11" t="s">
        <v>139</v>
      </c>
      <c r="L11" s="4">
        <v>45113</v>
      </c>
      <c r="M11" s="15">
        <v>0.44305555555555554</v>
      </c>
      <c r="N11" s="18" t="s">
        <v>130</v>
      </c>
      <c r="O11" t="s">
        <v>134</v>
      </c>
    </row>
    <row r="12" spans="1:15" x14ac:dyDescent="0.25">
      <c r="D12" t="s">
        <v>144</v>
      </c>
      <c r="G12">
        <v>3</v>
      </c>
      <c r="H12" t="s">
        <v>28</v>
      </c>
      <c r="I12" t="s">
        <v>28</v>
      </c>
      <c r="J12" t="s">
        <v>139</v>
      </c>
      <c r="L12" s="4">
        <v>45113</v>
      </c>
      <c r="M12" s="15">
        <v>0.88750000000000007</v>
      </c>
      <c r="N12" s="18">
        <v>4.49</v>
      </c>
      <c r="O12" t="s">
        <v>133</v>
      </c>
    </row>
    <row r="13" spans="1:15" x14ac:dyDescent="0.25">
      <c r="D13" t="s">
        <v>144</v>
      </c>
      <c r="G13">
        <v>3</v>
      </c>
      <c r="H13" t="s">
        <v>28</v>
      </c>
      <c r="I13" t="s">
        <v>28</v>
      </c>
      <c r="J13" t="s">
        <v>139</v>
      </c>
      <c r="L13" s="4">
        <v>45116</v>
      </c>
      <c r="M13" s="15">
        <v>0.53472222222222221</v>
      </c>
      <c r="N13" s="18" t="s">
        <v>130</v>
      </c>
      <c r="O13" t="s">
        <v>133</v>
      </c>
    </row>
    <row r="14" spans="1:15" x14ac:dyDescent="0.25">
      <c r="D14" t="s">
        <v>145</v>
      </c>
      <c r="G14">
        <v>4</v>
      </c>
      <c r="H14" t="s">
        <v>27</v>
      </c>
      <c r="I14" t="s">
        <v>27</v>
      </c>
      <c r="J14" t="s">
        <v>139</v>
      </c>
      <c r="L14" s="4">
        <v>45113</v>
      </c>
      <c r="M14" s="15">
        <v>0.7402777777777777</v>
      </c>
      <c r="N14" s="18">
        <v>1.33</v>
      </c>
      <c r="O14" t="s">
        <v>134</v>
      </c>
    </row>
    <row r="15" spans="1:15" x14ac:dyDescent="0.25">
      <c r="D15" t="s">
        <v>145</v>
      </c>
      <c r="G15">
        <v>4</v>
      </c>
      <c r="H15" t="s">
        <v>27</v>
      </c>
      <c r="I15" t="s">
        <v>27</v>
      </c>
      <c r="J15" t="s">
        <v>139</v>
      </c>
      <c r="L15" s="4">
        <v>45114</v>
      </c>
      <c r="M15" s="15">
        <v>0.35694444444444445</v>
      </c>
      <c r="N15" s="18">
        <v>12.15</v>
      </c>
      <c r="O15" t="s">
        <v>133</v>
      </c>
    </row>
    <row r="16" spans="1:15" x14ac:dyDescent="0.25">
      <c r="D16" t="s">
        <v>145</v>
      </c>
      <c r="G16">
        <v>4</v>
      </c>
      <c r="H16" t="s">
        <v>27</v>
      </c>
      <c r="I16" t="s">
        <v>27</v>
      </c>
      <c r="J16" t="s">
        <v>139</v>
      </c>
      <c r="L16" s="4">
        <v>45114</v>
      </c>
      <c r="M16" s="15">
        <v>0.70347222222222217</v>
      </c>
      <c r="N16" s="18">
        <v>1.02</v>
      </c>
      <c r="O16" t="s">
        <v>134</v>
      </c>
    </row>
    <row r="17" spans="1:15" x14ac:dyDescent="0.25">
      <c r="D17" t="s">
        <v>145</v>
      </c>
      <c r="G17">
        <v>4</v>
      </c>
      <c r="H17" t="s">
        <v>27</v>
      </c>
      <c r="I17" t="s">
        <v>27</v>
      </c>
      <c r="J17" t="s">
        <v>139</v>
      </c>
      <c r="L17" s="4">
        <v>45115</v>
      </c>
      <c r="M17" s="15">
        <v>0.31666666666666665</v>
      </c>
      <c r="N17" s="18">
        <v>4.07</v>
      </c>
      <c r="O17" t="s">
        <v>133</v>
      </c>
    </row>
    <row r="18" spans="1:15" x14ac:dyDescent="0.25">
      <c r="D18" t="s">
        <v>145</v>
      </c>
      <c r="G18">
        <v>4</v>
      </c>
      <c r="H18" t="s">
        <v>27</v>
      </c>
      <c r="I18" t="s">
        <v>27</v>
      </c>
      <c r="J18" t="s">
        <v>139</v>
      </c>
      <c r="L18" s="4">
        <v>45116</v>
      </c>
      <c r="M18" s="15">
        <v>0.42569444444444443</v>
      </c>
      <c r="N18" s="18">
        <v>8.32</v>
      </c>
      <c r="O18" t="s">
        <v>133</v>
      </c>
    </row>
    <row r="19" spans="1:15" x14ac:dyDescent="0.25">
      <c r="D19" t="s">
        <v>145</v>
      </c>
      <c r="G19">
        <v>4</v>
      </c>
      <c r="H19" t="s">
        <v>27</v>
      </c>
      <c r="I19" t="s">
        <v>27</v>
      </c>
      <c r="J19" t="s">
        <v>139</v>
      </c>
      <c r="L19" s="4">
        <v>45117</v>
      </c>
      <c r="M19" s="15">
        <v>0.3215277777777778</v>
      </c>
      <c r="N19" s="18">
        <v>13.29</v>
      </c>
      <c r="O19" t="s">
        <v>133</v>
      </c>
    </row>
    <row r="20" spans="1:15" x14ac:dyDescent="0.25">
      <c r="D20" t="s">
        <v>147</v>
      </c>
      <c r="G20">
        <v>6</v>
      </c>
      <c r="H20" t="s">
        <v>27</v>
      </c>
      <c r="I20" t="s">
        <v>27</v>
      </c>
      <c r="J20" t="s">
        <v>139</v>
      </c>
      <c r="L20" s="4">
        <v>45114</v>
      </c>
      <c r="M20" s="15">
        <v>0.3263888888888889</v>
      </c>
      <c r="N20" s="18">
        <v>2.4300000000000002</v>
      </c>
      <c r="O20" t="s">
        <v>133</v>
      </c>
    </row>
    <row r="21" spans="1:15" x14ac:dyDescent="0.25">
      <c r="D21" t="s">
        <v>147</v>
      </c>
      <c r="G21">
        <v>6</v>
      </c>
      <c r="H21" t="s">
        <v>27</v>
      </c>
      <c r="I21" t="s">
        <v>27</v>
      </c>
      <c r="J21" t="s">
        <v>139</v>
      </c>
      <c r="L21" s="4">
        <v>45115</v>
      </c>
      <c r="M21" s="15">
        <v>0.31041666666666667</v>
      </c>
      <c r="N21" s="18">
        <v>1.52</v>
      </c>
      <c r="O21" t="s">
        <v>134</v>
      </c>
    </row>
    <row r="22" spans="1:15" x14ac:dyDescent="0.25">
      <c r="A22" s="8">
        <v>233663</v>
      </c>
      <c r="C22">
        <v>49809</v>
      </c>
      <c r="D22" t="s">
        <v>14</v>
      </c>
      <c r="E22" s="16" t="s">
        <v>97</v>
      </c>
      <c r="F22" t="s">
        <v>23</v>
      </c>
      <c r="G22" s="8">
        <v>5</v>
      </c>
      <c r="H22" t="s">
        <v>27</v>
      </c>
      <c r="I22" t="s">
        <v>28</v>
      </c>
      <c r="J22" t="s">
        <v>132</v>
      </c>
      <c r="K22" s="4">
        <v>45110</v>
      </c>
      <c r="L22" s="4">
        <v>45112</v>
      </c>
      <c r="M22" s="15">
        <v>0.81736111111111109</v>
      </c>
      <c r="N22" s="18">
        <v>2.52</v>
      </c>
      <c r="O22" s="5"/>
    </row>
    <row r="23" spans="1:15" x14ac:dyDescent="0.25">
      <c r="A23" s="8">
        <v>233663</v>
      </c>
      <c r="C23">
        <v>49809</v>
      </c>
      <c r="D23" t="s">
        <v>14</v>
      </c>
      <c r="E23" s="16" t="s">
        <v>97</v>
      </c>
      <c r="F23" t="s">
        <v>23</v>
      </c>
      <c r="G23" s="8">
        <v>5</v>
      </c>
      <c r="H23" t="s">
        <v>27</v>
      </c>
      <c r="I23" t="s">
        <v>28</v>
      </c>
      <c r="J23" t="s">
        <v>132</v>
      </c>
      <c r="K23" s="4">
        <v>45110</v>
      </c>
      <c r="L23" s="4">
        <v>45113</v>
      </c>
      <c r="M23" s="15">
        <v>0.71875</v>
      </c>
      <c r="N23" s="18" t="s">
        <v>130</v>
      </c>
      <c r="O23" s="5"/>
    </row>
    <row r="24" spans="1:15" x14ac:dyDescent="0.25">
      <c r="A24" s="8">
        <v>233663</v>
      </c>
      <c r="C24">
        <v>49809</v>
      </c>
      <c r="D24" t="s">
        <v>14</v>
      </c>
      <c r="E24" s="16" t="s">
        <v>97</v>
      </c>
      <c r="F24" t="s">
        <v>23</v>
      </c>
      <c r="G24" s="8">
        <v>5</v>
      </c>
      <c r="H24" t="s">
        <v>27</v>
      </c>
      <c r="I24" t="s">
        <v>28</v>
      </c>
      <c r="J24" t="s">
        <v>132</v>
      </c>
      <c r="K24" s="4">
        <v>45110</v>
      </c>
      <c r="L24" s="4">
        <v>45114</v>
      </c>
      <c r="M24" s="15">
        <v>0.44375000000000003</v>
      </c>
      <c r="N24" s="18">
        <v>5.57</v>
      </c>
      <c r="O24" s="5"/>
    </row>
    <row r="25" spans="1:15" x14ac:dyDescent="0.25">
      <c r="A25" s="8">
        <v>233663</v>
      </c>
      <c r="C25">
        <v>49809</v>
      </c>
      <c r="D25" t="s">
        <v>14</v>
      </c>
      <c r="E25" s="16" t="s">
        <v>97</v>
      </c>
      <c r="F25" t="s">
        <v>23</v>
      </c>
      <c r="G25" s="8">
        <v>5</v>
      </c>
      <c r="H25" t="s">
        <v>27</v>
      </c>
      <c r="I25" t="s">
        <v>28</v>
      </c>
      <c r="J25" t="s">
        <v>132</v>
      </c>
      <c r="K25" s="4">
        <v>45110</v>
      </c>
      <c r="L25" s="4">
        <v>45115</v>
      </c>
      <c r="M25" s="15">
        <v>0.42499999999999999</v>
      </c>
      <c r="N25" s="18">
        <v>2.52</v>
      </c>
      <c r="O25" s="5"/>
    </row>
    <row r="26" spans="1:15" x14ac:dyDescent="0.25">
      <c r="A26" s="8">
        <v>233665</v>
      </c>
      <c r="C26" s="8">
        <v>49810</v>
      </c>
      <c r="D26" t="s">
        <v>30</v>
      </c>
      <c r="E26" s="16" t="s">
        <v>98</v>
      </c>
      <c r="F26" s="16"/>
      <c r="G26" s="9" t="s">
        <v>31</v>
      </c>
      <c r="H26" t="s">
        <v>28</v>
      </c>
      <c r="I26" t="s">
        <v>28</v>
      </c>
      <c r="J26" t="s">
        <v>132</v>
      </c>
      <c r="K26" s="4">
        <v>45110</v>
      </c>
      <c r="L26" s="4">
        <v>45114</v>
      </c>
      <c r="M26" s="15">
        <v>0.59375</v>
      </c>
      <c r="N26" s="18">
        <v>2.1</v>
      </c>
      <c r="O26" s="5"/>
    </row>
    <row r="27" spans="1:15" x14ac:dyDescent="0.25">
      <c r="A27" s="8">
        <v>233665</v>
      </c>
      <c r="C27" s="8">
        <v>49810</v>
      </c>
      <c r="D27" t="s">
        <v>30</v>
      </c>
      <c r="E27" s="16" t="s">
        <v>98</v>
      </c>
      <c r="F27" s="16"/>
      <c r="G27" s="9" t="s">
        <v>31</v>
      </c>
      <c r="H27" t="s">
        <v>28</v>
      </c>
      <c r="I27" t="s">
        <v>28</v>
      </c>
      <c r="J27" t="s">
        <v>132</v>
      </c>
      <c r="K27" s="4">
        <v>45110</v>
      </c>
      <c r="L27" s="4">
        <v>45115</v>
      </c>
      <c r="M27" s="15">
        <v>0.41875000000000001</v>
      </c>
      <c r="N27" s="18">
        <v>2.42</v>
      </c>
      <c r="O27" s="5"/>
    </row>
    <row r="28" spans="1:15" x14ac:dyDescent="0.25">
      <c r="A28" s="8">
        <v>233665</v>
      </c>
      <c r="C28" s="8">
        <v>49810</v>
      </c>
      <c r="D28" t="s">
        <v>30</v>
      </c>
      <c r="E28" s="16" t="s">
        <v>98</v>
      </c>
      <c r="F28" s="16"/>
      <c r="G28" s="9" t="s">
        <v>31</v>
      </c>
      <c r="H28" t="s">
        <v>28</v>
      </c>
      <c r="I28" t="s">
        <v>28</v>
      </c>
      <c r="J28" t="s">
        <v>132</v>
      </c>
      <c r="K28" s="4">
        <v>45110</v>
      </c>
      <c r="L28" s="4">
        <v>45116</v>
      </c>
      <c r="M28" s="15">
        <v>0.6972222222222223</v>
      </c>
      <c r="N28" s="18">
        <v>11.03</v>
      </c>
      <c r="O28" s="5"/>
    </row>
    <row r="29" spans="1:15" x14ac:dyDescent="0.25">
      <c r="D29" t="s">
        <v>138</v>
      </c>
      <c r="G29">
        <v>4</v>
      </c>
      <c r="H29" t="s">
        <v>27</v>
      </c>
      <c r="I29" t="s">
        <v>27</v>
      </c>
      <c r="J29" t="s">
        <v>139</v>
      </c>
      <c r="L29" s="4">
        <v>45113</v>
      </c>
      <c r="M29" s="15">
        <v>0.44305555555555554</v>
      </c>
      <c r="N29" s="18">
        <v>0.46</v>
      </c>
      <c r="O29" t="s">
        <v>133</v>
      </c>
    </row>
    <row r="30" spans="1:15" x14ac:dyDescent="0.25">
      <c r="D30" t="s">
        <v>138</v>
      </c>
      <c r="G30">
        <v>4</v>
      </c>
      <c r="H30" t="s">
        <v>27</v>
      </c>
      <c r="I30" t="s">
        <v>27</v>
      </c>
      <c r="J30" t="s">
        <v>139</v>
      </c>
      <c r="L30" s="4">
        <v>45114</v>
      </c>
      <c r="M30" s="15">
        <v>0.37013888888888885</v>
      </c>
      <c r="N30" s="18">
        <v>2.11</v>
      </c>
      <c r="O30" t="s">
        <v>134</v>
      </c>
    </row>
    <row r="31" spans="1:15" x14ac:dyDescent="0.25">
      <c r="D31" t="s">
        <v>138</v>
      </c>
      <c r="G31">
        <v>4</v>
      </c>
      <c r="H31" t="s">
        <v>27</v>
      </c>
      <c r="I31" t="s">
        <v>27</v>
      </c>
      <c r="J31" t="s">
        <v>139</v>
      </c>
      <c r="L31" s="4">
        <v>45114</v>
      </c>
      <c r="M31" s="15">
        <v>0.74791666666666667</v>
      </c>
      <c r="N31" s="18">
        <v>1.2</v>
      </c>
      <c r="O31" t="s">
        <v>133</v>
      </c>
    </row>
    <row r="32" spans="1:15" x14ac:dyDescent="0.25">
      <c r="D32" t="s">
        <v>138</v>
      </c>
      <c r="G32">
        <v>4</v>
      </c>
      <c r="H32" t="s">
        <v>27</v>
      </c>
      <c r="I32" t="s">
        <v>27</v>
      </c>
      <c r="J32" t="s">
        <v>139</v>
      </c>
      <c r="L32" s="4">
        <v>45115</v>
      </c>
      <c r="M32" s="15">
        <v>0.34722222222222227</v>
      </c>
      <c r="N32" s="18">
        <v>1.06</v>
      </c>
      <c r="O32" t="s">
        <v>134</v>
      </c>
    </row>
    <row r="33" spans="1:15" x14ac:dyDescent="0.25">
      <c r="D33" t="s">
        <v>149</v>
      </c>
      <c r="G33" s="9" t="s">
        <v>31</v>
      </c>
      <c r="H33" t="s">
        <v>27</v>
      </c>
      <c r="I33" t="s">
        <v>27</v>
      </c>
      <c r="J33" t="s">
        <v>139</v>
      </c>
      <c r="L33" s="4">
        <v>45114</v>
      </c>
      <c r="M33" s="15">
        <v>0.31944444444444448</v>
      </c>
      <c r="N33" s="18">
        <v>20.14</v>
      </c>
      <c r="O33" t="s">
        <v>134</v>
      </c>
    </row>
    <row r="34" spans="1:15" x14ac:dyDescent="0.25">
      <c r="D34" t="s">
        <v>149</v>
      </c>
      <c r="G34" s="9" t="s">
        <v>31</v>
      </c>
      <c r="H34" t="s">
        <v>27</v>
      </c>
      <c r="I34" t="s">
        <v>27</v>
      </c>
      <c r="J34" t="s">
        <v>139</v>
      </c>
      <c r="L34" s="4">
        <v>45114</v>
      </c>
      <c r="M34" s="15">
        <v>0.54583333333333328</v>
      </c>
      <c r="N34" s="18" t="s">
        <v>130</v>
      </c>
      <c r="O34" t="s">
        <v>133</v>
      </c>
    </row>
    <row r="35" spans="1:15" x14ac:dyDescent="0.25">
      <c r="D35" t="s">
        <v>149</v>
      </c>
      <c r="G35" s="9" t="s">
        <v>31</v>
      </c>
      <c r="H35" t="s">
        <v>27</v>
      </c>
      <c r="I35" t="s">
        <v>27</v>
      </c>
      <c r="J35" t="s">
        <v>139</v>
      </c>
      <c r="L35" s="4">
        <v>45115</v>
      </c>
      <c r="M35" s="15">
        <v>0.42430555555555555</v>
      </c>
      <c r="N35" s="18">
        <v>10.220000000000001</v>
      </c>
      <c r="O35" t="s">
        <v>134</v>
      </c>
    </row>
    <row r="36" spans="1:15" x14ac:dyDescent="0.25">
      <c r="D36" t="s">
        <v>149</v>
      </c>
      <c r="G36" s="9" t="s">
        <v>31</v>
      </c>
      <c r="H36" t="s">
        <v>27</v>
      </c>
      <c r="I36" t="s">
        <v>27</v>
      </c>
      <c r="J36" t="s">
        <v>139</v>
      </c>
      <c r="L36" s="4">
        <v>45116</v>
      </c>
      <c r="M36" s="15">
        <v>0.37638888888888888</v>
      </c>
      <c r="N36" s="18" t="s">
        <v>130</v>
      </c>
      <c r="O36" t="s">
        <v>134</v>
      </c>
    </row>
    <row r="37" spans="1:15" x14ac:dyDescent="0.25">
      <c r="D37" t="s">
        <v>146</v>
      </c>
      <c r="G37">
        <v>6</v>
      </c>
      <c r="H37" t="s">
        <v>27</v>
      </c>
      <c r="I37" t="s">
        <v>27</v>
      </c>
      <c r="J37" t="s">
        <v>139</v>
      </c>
      <c r="L37" s="4">
        <v>45114</v>
      </c>
      <c r="M37" s="15">
        <v>0.39861111111111108</v>
      </c>
      <c r="N37" s="18">
        <v>2.27</v>
      </c>
      <c r="O37" t="s">
        <v>133</v>
      </c>
    </row>
    <row r="38" spans="1:15" x14ac:dyDescent="0.25">
      <c r="D38" t="s">
        <v>146</v>
      </c>
      <c r="G38">
        <v>6</v>
      </c>
      <c r="H38" t="s">
        <v>27</v>
      </c>
      <c r="I38" t="s">
        <v>27</v>
      </c>
      <c r="J38" t="s">
        <v>139</v>
      </c>
      <c r="L38" s="4">
        <v>45114</v>
      </c>
      <c r="M38" s="15">
        <v>0.61805555555555558</v>
      </c>
      <c r="N38" s="18">
        <v>11.06</v>
      </c>
      <c r="O38" t="s">
        <v>134</v>
      </c>
    </row>
    <row r="39" spans="1:15" x14ac:dyDescent="0.25">
      <c r="D39" t="s">
        <v>146</v>
      </c>
      <c r="G39">
        <v>6</v>
      </c>
      <c r="H39" t="s">
        <v>27</v>
      </c>
      <c r="I39" t="s">
        <v>27</v>
      </c>
      <c r="J39" t="s">
        <v>139</v>
      </c>
      <c r="L39" s="4">
        <v>45116</v>
      </c>
      <c r="M39" s="15">
        <v>0.81041666666666667</v>
      </c>
      <c r="N39" s="18">
        <v>4.5</v>
      </c>
      <c r="O39" t="s">
        <v>133</v>
      </c>
    </row>
    <row r="40" spans="1:15" x14ac:dyDescent="0.25">
      <c r="D40" t="s">
        <v>146</v>
      </c>
      <c r="G40">
        <v>6</v>
      </c>
      <c r="H40" t="s">
        <v>27</v>
      </c>
      <c r="I40" t="s">
        <v>27</v>
      </c>
      <c r="J40" t="s">
        <v>139</v>
      </c>
      <c r="L40" s="4">
        <v>45117</v>
      </c>
      <c r="M40" s="15">
        <v>0.30208333333333331</v>
      </c>
      <c r="N40" s="18">
        <v>11.33</v>
      </c>
      <c r="O40" t="s">
        <v>134</v>
      </c>
    </row>
    <row r="41" spans="1:15" x14ac:dyDescent="0.25">
      <c r="D41" t="s">
        <v>143</v>
      </c>
      <c r="G41">
        <v>4</v>
      </c>
      <c r="H41" t="s">
        <v>27</v>
      </c>
      <c r="I41" t="s">
        <v>27</v>
      </c>
      <c r="J41" t="s">
        <v>139</v>
      </c>
      <c r="L41" s="4">
        <v>45113</v>
      </c>
      <c r="M41" s="15">
        <v>0.27777777777777779</v>
      </c>
      <c r="N41" s="18">
        <v>8.2899999999999991</v>
      </c>
      <c r="O41" t="s">
        <v>134</v>
      </c>
    </row>
    <row r="42" spans="1:15" x14ac:dyDescent="0.25">
      <c r="D42" t="s">
        <v>143</v>
      </c>
      <c r="G42">
        <v>4</v>
      </c>
      <c r="H42" t="s">
        <v>27</v>
      </c>
      <c r="I42" t="s">
        <v>27</v>
      </c>
      <c r="J42" t="s">
        <v>139</v>
      </c>
      <c r="L42" s="4">
        <v>45114</v>
      </c>
      <c r="M42" s="15">
        <v>0.28819444444444448</v>
      </c>
      <c r="N42" s="18" t="s">
        <v>130</v>
      </c>
      <c r="O42" t="s">
        <v>134</v>
      </c>
    </row>
    <row r="43" spans="1:15" x14ac:dyDescent="0.25">
      <c r="D43" t="s">
        <v>143</v>
      </c>
      <c r="G43">
        <v>4</v>
      </c>
      <c r="H43" t="s">
        <v>27</v>
      </c>
      <c r="I43" t="s">
        <v>27</v>
      </c>
      <c r="J43" t="s">
        <v>139</v>
      </c>
      <c r="L43" s="4">
        <v>45116</v>
      </c>
      <c r="M43" s="15">
        <v>0.53819444444444442</v>
      </c>
      <c r="N43" s="18">
        <v>4.13</v>
      </c>
      <c r="O43" t="s">
        <v>167</v>
      </c>
    </row>
    <row r="44" spans="1:15" x14ac:dyDescent="0.25">
      <c r="D44" t="s">
        <v>140</v>
      </c>
      <c r="G44">
        <v>3</v>
      </c>
      <c r="H44" t="s">
        <v>27</v>
      </c>
      <c r="I44" t="s">
        <v>27</v>
      </c>
      <c r="J44" t="s">
        <v>139</v>
      </c>
      <c r="L44" s="4">
        <v>45113</v>
      </c>
      <c r="M44" s="15">
        <v>0.62638888888888888</v>
      </c>
      <c r="N44" s="18">
        <v>1.32</v>
      </c>
      <c r="O44" t="s">
        <v>134</v>
      </c>
    </row>
    <row r="45" spans="1:15" x14ac:dyDescent="0.25">
      <c r="D45" t="s">
        <v>140</v>
      </c>
      <c r="G45">
        <v>3</v>
      </c>
      <c r="H45" t="s">
        <v>27</v>
      </c>
      <c r="I45" t="s">
        <v>27</v>
      </c>
      <c r="J45" t="s">
        <v>139</v>
      </c>
      <c r="L45" s="4">
        <v>45114</v>
      </c>
      <c r="M45" s="15">
        <v>0.3972222222222222</v>
      </c>
      <c r="N45" s="18">
        <v>6.07</v>
      </c>
      <c r="O45" t="s">
        <v>133</v>
      </c>
    </row>
    <row r="46" spans="1:15" x14ac:dyDescent="0.25">
      <c r="A46" s="8">
        <v>233667</v>
      </c>
      <c r="C46">
        <v>49825</v>
      </c>
      <c r="D46" t="s">
        <v>32</v>
      </c>
      <c r="E46" t="s">
        <v>99</v>
      </c>
      <c r="G46" s="9" t="s">
        <v>31</v>
      </c>
      <c r="H46" t="s">
        <v>28</v>
      </c>
      <c r="I46" t="s">
        <v>27</v>
      </c>
      <c r="J46" t="s">
        <v>132</v>
      </c>
      <c r="K46" s="4">
        <v>45110</v>
      </c>
      <c r="L46" s="4">
        <v>45113</v>
      </c>
      <c r="M46" s="15">
        <v>0.71875</v>
      </c>
      <c r="N46" s="18">
        <v>1.28</v>
      </c>
      <c r="O46" s="5"/>
    </row>
    <row r="47" spans="1:15" x14ac:dyDescent="0.25">
      <c r="A47" s="8">
        <v>233667</v>
      </c>
      <c r="C47">
        <v>49825</v>
      </c>
      <c r="D47" t="s">
        <v>32</v>
      </c>
      <c r="E47" t="s">
        <v>99</v>
      </c>
      <c r="G47" s="9" t="s">
        <v>31</v>
      </c>
      <c r="H47" t="s">
        <v>28</v>
      </c>
      <c r="I47" t="s">
        <v>27</v>
      </c>
      <c r="J47" t="s">
        <v>132</v>
      </c>
      <c r="K47" s="4">
        <v>45110</v>
      </c>
      <c r="L47" s="4">
        <v>45114</v>
      </c>
      <c r="M47" s="15">
        <v>0.67986111111111114</v>
      </c>
      <c r="N47" s="18">
        <v>10.11</v>
      </c>
      <c r="O47" s="5"/>
    </row>
    <row r="48" spans="1:15" x14ac:dyDescent="0.25">
      <c r="A48" s="8">
        <v>233667</v>
      </c>
      <c r="C48">
        <v>49825</v>
      </c>
      <c r="D48" t="s">
        <v>32</v>
      </c>
      <c r="E48" t="s">
        <v>99</v>
      </c>
      <c r="G48" s="9" t="s">
        <v>31</v>
      </c>
      <c r="H48" t="s">
        <v>28</v>
      </c>
      <c r="I48" t="s">
        <v>27</v>
      </c>
      <c r="J48" t="s">
        <v>132</v>
      </c>
      <c r="K48" s="4">
        <v>45110</v>
      </c>
      <c r="L48" s="4">
        <v>45116</v>
      </c>
      <c r="M48" s="15">
        <v>0.38263888888888892</v>
      </c>
      <c r="N48" s="18">
        <v>4.5199999999999996</v>
      </c>
      <c r="O48" s="5"/>
    </row>
    <row r="49" spans="1:15" x14ac:dyDescent="0.25">
      <c r="A49" s="8">
        <v>233667</v>
      </c>
      <c r="C49">
        <v>49825</v>
      </c>
      <c r="D49" t="s">
        <v>32</v>
      </c>
      <c r="E49" t="s">
        <v>99</v>
      </c>
      <c r="G49" s="9" t="s">
        <v>31</v>
      </c>
      <c r="H49" t="s">
        <v>28</v>
      </c>
      <c r="I49" t="s">
        <v>27</v>
      </c>
      <c r="J49" t="s">
        <v>132</v>
      </c>
      <c r="K49" s="4">
        <v>45110</v>
      </c>
      <c r="L49" s="4">
        <v>45116</v>
      </c>
      <c r="M49" s="15">
        <v>0.76388888888888884</v>
      </c>
      <c r="N49" s="18" t="s">
        <v>130</v>
      </c>
      <c r="O49" s="14"/>
    </row>
    <row r="50" spans="1:15" x14ac:dyDescent="0.25">
      <c r="A50" s="8">
        <v>233670</v>
      </c>
      <c r="C50" s="8">
        <v>49829</v>
      </c>
      <c r="D50" t="s">
        <v>39</v>
      </c>
      <c r="E50" s="16" t="s">
        <v>104</v>
      </c>
      <c r="F50" s="16"/>
      <c r="G50" s="8">
        <v>5</v>
      </c>
      <c r="H50" t="s">
        <v>27</v>
      </c>
      <c r="I50" t="s">
        <v>28</v>
      </c>
      <c r="J50" t="s">
        <v>132</v>
      </c>
      <c r="K50" s="4">
        <v>45111</v>
      </c>
      <c r="L50" s="4">
        <v>45112</v>
      </c>
      <c r="M50" s="15">
        <v>0.73888888888888893</v>
      </c>
      <c r="N50" s="18">
        <v>5</v>
      </c>
      <c r="O50" s="5"/>
    </row>
    <row r="51" spans="1:15" x14ac:dyDescent="0.25">
      <c r="A51" s="8">
        <v>233670</v>
      </c>
      <c r="C51" s="8">
        <v>49829</v>
      </c>
      <c r="D51" t="s">
        <v>39</v>
      </c>
      <c r="E51" s="16" t="s">
        <v>104</v>
      </c>
      <c r="F51" s="16"/>
      <c r="G51" s="8">
        <v>5</v>
      </c>
      <c r="H51" t="s">
        <v>27</v>
      </c>
      <c r="I51" t="s">
        <v>28</v>
      </c>
      <c r="J51" t="s">
        <v>132</v>
      </c>
      <c r="K51" s="4">
        <v>45111</v>
      </c>
      <c r="L51" s="4">
        <v>45115</v>
      </c>
      <c r="M51" s="15">
        <v>0.3666666666666667</v>
      </c>
      <c r="N51" s="18">
        <v>1.1299999999999999</v>
      </c>
      <c r="O51" s="5"/>
    </row>
    <row r="52" spans="1:15" x14ac:dyDescent="0.25">
      <c r="A52" s="8">
        <v>233662</v>
      </c>
      <c r="C52" s="8">
        <v>51698</v>
      </c>
      <c r="D52" t="s">
        <v>48</v>
      </c>
      <c r="E52" t="s">
        <v>111</v>
      </c>
      <c r="G52" s="8">
        <v>4</v>
      </c>
      <c r="H52" t="s">
        <v>27</v>
      </c>
      <c r="I52" t="s">
        <v>27</v>
      </c>
      <c r="J52" t="s">
        <v>132</v>
      </c>
      <c r="K52" s="4">
        <v>45112</v>
      </c>
      <c r="L52" s="4">
        <v>45112</v>
      </c>
      <c r="M52" s="15">
        <v>0.69652777777777775</v>
      </c>
      <c r="N52" s="18">
        <v>4.1399999999999997</v>
      </c>
      <c r="O52" s="5"/>
    </row>
    <row r="53" spans="1:15" x14ac:dyDescent="0.25">
      <c r="A53" s="8">
        <v>233662</v>
      </c>
      <c r="C53" s="8">
        <v>51698</v>
      </c>
      <c r="D53" t="s">
        <v>48</v>
      </c>
      <c r="E53" t="s">
        <v>111</v>
      </c>
      <c r="G53" s="8">
        <v>4</v>
      </c>
      <c r="H53" t="s">
        <v>27</v>
      </c>
      <c r="I53" t="s">
        <v>27</v>
      </c>
      <c r="J53" t="s">
        <v>132</v>
      </c>
      <c r="K53" s="4">
        <v>45112</v>
      </c>
      <c r="L53" s="4">
        <v>45113</v>
      </c>
      <c r="M53" s="15">
        <v>0.36249999999999999</v>
      </c>
      <c r="N53" s="18">
        <v>1.59</v>
      </c>
      <c r="O53" s="5"/>
    </row>
    <row r="54" spans="1:15" x14ac:dyDescent="0.25">
      <c r="A54" s="8">
        <v>233662</v>
      </c>
      <c r="C54" s="8">
        <v>51698</v>
      </c>
      <c r="D54" t="s">
        <v>48</v>
      </c>
      <c r="E54" t="s">
        <v>111</v>
      </c>
      <c r="G54" s="8">
        <v>4</v>
      </c>
      <c r="H54" t="s">
        <v>27</v>
      </c>
      <c r="I54" t="s">
        <v>27</v>
      </c>
      <c r="J54" t="s">
        <v>132</v>
      </c>
      <c r="K54" s="4">
        <v>45112</v>
      </c>
      <c r="L54" s="4">
        <v>45113</v>
      </c>
      <c r="M54" s="15">
        <v>0.63194444444444442</v>
      </c>
      <c r="N54" s="18">
        <v>2.52</v>
      </c>
      <c r="O54" s="5"/>
    </row>
    <row r="55" spans="1:15" x14ac:dyDescent="0.25">
      <c r="A55" s="8">
        <v>233662</v>
      </c>
      <c r="C55" s="8">
        <v>51698</v>
      </c>
      <c r="D55" t="s">
        <v>48</v>
      </c>
      <c r="E55" t="s">
        <v>111</v>
      </c>
      <c r="G55" s="8">
        <v>4</v>
      </c>
      <c r="H55" t="s">
        <v>27</v>
      </c>
      <c r="I55" t="s">
        <v>27</v>
      </c>
      <c r="J55" t="s">
        <v>132</v>
      </c>
      <c r="K55" s="4">
        <v>45112</v>
      </c>
      <c r="L55" s="4">
        <v>45114</v>
      </c>
      <c r="M55" s="15">
        <v>0.6875</v>
      </c>
      <c r="N55" s="18">
        <v>1.25</v>
      </c>
      <c r="O55" s="5"/>
    </row>
    <row r="56" spans="1:15" x14ac:dyDescent="0.25">
      <c r="A56" s="8">
        <v>233662</v>
      </c>
      <c r="C56" s="8">
        <v>51698</v>
      </c>
      <c r="D56" t="s">
        <v>48</v>
      </c>
      <c r="E56" s="16" t="s">
        <v>111</v>
      </c>
      <c r="F56" s="16"/>
      <c r="G56" s="8">
        <v>4</v>
      </c>
      <c r="H56" t="s">
        <v>27</v>
      </c>
      <c r="I56" t="s">
        <v>27</v>
      </c>
      <c r="J56" t="s">
        <v>132</v>
      </c>
      <c r="K56" s="4">
        <v>45112</v>
      </c>
      <c r="L56" s="4">
        <v>45116</v>
      </c>
      <c r="M56" s="15">
        <v>0.81180555555555556</v>
      </c>
      <c r="N56" s="18">
        <v>2.2000000000000002</v>
      </c>
    </row>
    <row r="57" spans="1:15" x14ac:dyDescent="0.25">
      <c r="A57" s="8">
        <v>233659</v>
      </c>
      <c r="C57" s="8">
        <v>37434</v>
      </c>
      <c r="D57" t="s">
        <v>47</v>
      </c>
      <c r="E57" s="16" t="s">
        <v>110</v>
      </c>
      <c r="F57" s="16"/>
      <c r="G57" s="8">
        <v>5</v>
      </c>
      <c r="H57" t="s">
        <v>27</v>
      </c>
      <c r="I57" t="s">
        <v>27</v>
      </c>
      <c r="J57" t="s">
        <v>132</v>
      </c>
      <c r="K57" s="4">
        <v>45111</v>
      </c>
      <c r="L57" s="4">
        <v>45114</v>
      </c>
      <c r="M57" s="15">
        <v>0.43055555555555558</v>
      </c>
      <c r="N57" s="18">
        <v>7.14</v>
      </c>
      <c r="O57" s="17"/>
    </row>
    <row r="58" spans="1:15" x14ac:dyDescent="0.25">
      <c r="A58" s="8">
        <v>233659</v>
      </c>
      <c r="C58" s="8">
        <v>37434</v>
      </c>
      <c r="D58" t="s">
        <v>47</v>
      </c>
      <c r="E58" s="16" t="s">
        <v>110</v>
      </c>
      <c r="F58" s="16"/>
      <c r="G58" s="8">
        <v>5</v>
      </c>
      <c r="H58" t="s">
        <v>27</v>
      </c>
      <c r="I58" t="s">
        <v>27</v>
      </c>
      <c r="J58" t="s">
        <v>132</v>
      </c>
      <c r="K58" s="4">
        <v>45111</v>
      </c>
      <c r="L58" s="4">
        <v>45114</v>
      </c>
      <c r="M58" s="15">
        <v>0.60416666666666663</v>
      </c>
      <c r="N58" s="18" t="s">
        <v>130</v>
      </c>
    </row>
    <row r="59" spans="1:15" x14ac:dyDescent="0.25">
      <c r="A59" s="8">
        <v>233659</v>
      </c>
      <c r="C59" s="8">
        <v>37434</v>
      </c>
      <c r="D59" t="s">
        <v>47</v>
      </c>
      <c r="E59" s="16" t="s">
        <v>110</v>
      </c>
      <c r="F59" s="16"/>
      <c r="G59" s="8">
        <v>5</v>
      </c>
      <c r="H59" t="s">
        <v>27</v>
      </c>
      <c r="I59" t="s">
        <v>27</v>
      </c>
      <c r="J59" t="s">
        <v>132</v>
      </c>
      <c r="K59" s="4">
        <v>45111</v>
      </c>
      <c r="L59" s="4">
        <v>45114</v>
      </c>
      <c r="M59" s="15">
        <v>0.70694444444444438</v>
      </c>
      <c r="N59" s="18">
        <v>11.3</v>
      </c>
      <c r="O59" s="17"/>
    </row>
    <row r="60" spans="1:15" x14ac:dyDescent="0.25">
      <c r="A60" s="8">
        <v>233658</v>
      </c>
      <c r="C60" s="8">
        <v>51697</v>
      </c>
      <c r="D60" t="s">
        <v>46</v>
      </c>
      <c r="E60" s="16" t="s">
        <v>109</v>
      </c>
      <c r="F60" s="16"/>
      <c r="G60" s="8">
        <v>4</v>
      </c>
      <c r="H60" t="s">
        <v>27</v>
      </c>
      <c r="I60" t="s">
        <v>27</v>
      </c>
      <c r="J60" t="s">
        <v>132</v>
      </c>
      <c r="K60" s="4">
        <v>45111</v>
      </c>
      <c r="L60" s="4">
        <v>45113</v>
      </c>
      <c r="M60" s="15">
        <v>0.38194444444444442</v>
      </c>
      <c r="N60" s="18" t="s">
        <v>130</v>
      </c>
    </row>
    <row r="61" spans="1:15" x14ac:dyDescent="0.25">
      <c r="A61" s="8">
        <v>233658</v>
      </c>
      <c r="C61" s="8">
        <v>51697</v>
      </c>
      <c r="D61" t="s">
        <v>46</v>
      </c>
      <c r="E61" s="16" t="s">
        <v>109</v>
      </c>
      <c r="F61" s="16"/>
      <c r="G61" s="8">
        <v>4</v>
      </c>
      <c r="H61" t="s">
        <v>27</v>
      </c>
      <c r="I61" t="s">
        <v>27</v>
      </c>
      <c r="J61" t="s">
        <v>132</v>
      </c>
      <c r="K61" s="4">
        <v>45111</v>
      </c>
      <c r="L61" s="4">
        <v>45114</v>
      </c>
      <c r="M61" s="15">
        <v>0.6166666666666667</v>
      </c>
      <c r="N61" s="18">
        <v>4.37</v>
      </c>
      <c r="O61" s="5"/>
    </row>
    <row r="62" spans="1:15" x14ac:dyDescent="0.25">
      <c r="A62" s="8">
        <v>222450</v>
      </c>
      <c r="C62" s="8">
        <v>51699</v>
      </c>
      <c r="D62" t="s">
        <v>51</v>
      </c>
      <c r="E62" s="16" t="s">
        <v>112</v>
      </c>
      <c r="F62" s="16"/>
      <c r="G62" s="8">
        <v>4</v>
      </c>
      <c r="H62" t="s">
        <v>27</v>
      </c>
      <c r="I62" t="s">
        <v>27</v>
      </c>
      <c r="J62" t="s">
        <v>132</v>
      </c>
      <c r="K62" s="4">
        <v>45112</v>
      </c>
      <c r="L62" s="4">
        <v>45112</v>
      </c>
      <c r="M62" s="15">
        <v>0.69652777777777775</v>
      </c>
      <c r="N62" s="18" t="s">
        <v>130</v>
      </c>
    </row>
    <row r="63" spans="1:15" x14ac:dyDescent="0.25">
      <c r="A63" s="8">
        <v>222450</v>
      </c>
      <c r="C63" s="8">
        <v>51699</v>
      </c>
      <c r="D63" t="s">
        <v>51</v>
      </c>
      <c r="E63" s="16" t="s">
        <v>112</v>
      </c>
      <c r="F63" s="16"/>
      <c r="G63" s="8">
        <v>4</v>
      </c>
      <c r="H63" t="s">
        <v>27</v>
      </c>
      <c r="I63" t="s">
        <v>27</v>
      </c>
      <c r="J63" t="s">
        <v>132</v>
      </c>
      <c r="K63" s="4">
        <v>45112</v>
      </c>
      <c r="L63" s="4">
        <v>45114</v>
      </c>
      <c r="M63" s="15">
        <v>0.33333333333333331</v>
      </c>
      <c r="N63" s="18">
        <v>3.17</v>
      </c>
      <c r="O63" s="17"/>
    </row>
    <row r="64" spans="1:15" x14ac:dyDescent="0.25">
      <c r="A64" s="8">
        <v>233671</v>
      </c>
      <c r="C64" s="8">
        <v>49849</v>
      </c>
      <c r="D64" t="s">
        <v>43</v>
      </c>
      <c r="E64" s="16" t="s">
        <v>107</v>
      </c>
      <c r="F64" t="s">
        <v>44</v>
      </c>
      <c r="G64" s="8">
        <v>4</v>
      </c>
      <c r="H64" t="s">
        <v>27</v>
      </c>
      <c r="I64" t="s">
        <v>27</v>
      </c>
      <c r="J64" t="s">
        <v>132</v>
      </c>
      <c r="K64" s="4">
        <v>45111</v>
      </c>
      <c r="L64" s="4">
        <v>45114</v>
      </c>
      <c r="M64" s="15">
        <v>0.78194444444444444</v>
      </c>
      <c r="N64" s="18">
        <v>3.09</v>
      </c>
    </row>
    <row r="65" spans="1:15" x14ac:dyDescent="0.25">
      <c r="A65" s="8">
        <v>233671</v>
      </c>
      <c r="C65" s="8">
        <v>49849</v>
      </c>
      <c r="D65" t="s">
        <v>43</v>
      </c>
      <c r="E65" s="16" t="s">
        <v>107</v>
      </c>
      <c r="F65" t="s">
        <v>44</v>
      </c>
      <c r="G65" s="8">
        <v>4</v>
      </c>
      <c r="H65" t="s">
        <v>27</v>
      </c>
      <c r="I65" t="s">
        <v>27</v>
      </c>
      <c r="J65" t="s">
        <v>132</v>
      </c>
      <c r="K65" s="4">
        <v>45111</v>
      </c>
      <c r="L65" s="4">
        <v>45115</v>
      </c>
      <c r="M65" s="15">
        <v>0.33333333333333331</v>
      </c>
      <c r="N65" s="18">
        <v>7.39</v>
      </c>
    </row>
    <row r="66" spans="1:15" x14ac:dyDescent="0.25">
      <c r="A66" s="8">
        <v>233671</v>
      </c>
      <c r="C66" s="8">
        <v>49849</v>
      </c>
      <c r="D66" t="s">
        <v>43</v>
      </c>
      <c r="E66" s="16" t="s">
        <v>107</v>
      </c>
      <c r="F66" t="s">
        <v>44</v>
      </c>
      <c r="G66" s="8">
        <v>4</v>
      </c>
      <c r="H66" t="s">
        <v>27</v>
      </c>
      <c r="I66" t="s">
        <v>27</v>
      </c>
      <c r="J66" t="s">
        <v>132</v>
      </c>
      <c r="K66" s="4">
        <v>45111</v>
      </c>
      <c r="L66" s="4">
        <v>45115</v>
      </c>
      <c r="M66" s="15">
        <v>0.72916666666666663</v>
      </c>
      <c r="N66" s="18">
        <v>5.35</v>
      </c>
    </row>
    <row r="67" spans="1:15" x14ac:dyDescent="0.25">
      <c r="A67" s="8">
        <v>233669</v>
      </c>
      <c r="C67" s="8">
        <v>49848</v>
      </c>
      <c r="D67" t="s">
        <v>42</v>
      </c>
      <c r="E67" s="16" t="s">
        <v>106</v>
      </c>
      <c r="F67" s="16"/>
      <c r="G67" s="9" t="s">
        <v>31</v>
      </c>
      <c r="H67" t="s">
        <v>27</v>
      </c>
      <c r="I67" t="s">
        <v>27</v>
      </c>
      <c r="J67" t="s">
        <v>132</v>
      </c>
      <c r="K67" s="4">
        <v>45111</v>
      </c>
      <c r="L67" s="4">
        <v>45114</v>
      </c>
      <c r="M67" s="15">
        <v>0.36388888888888887</v>
      </c>
      <c r="N67" s="18">
        <v>3.09</v>
      </c>
    </row>
    <row r="68" spans="1:15" x14ac:dyDescent="0.25">
      <c r="A68" s="8">
        <v>233664</v>
      </c>
      <c r="C68">
        <v>39800</v>
      </c>
      <c r="D68" t="s">
        <v>33</v>
      </c>
      <c r="E68" s="16" t="s">
        <v>100</v>
      </c>
      <c r="F68" s="16"/>
      <c r="G68" s="8">
        <v>5</v>
      </c>
      <c r="H68" t="s">
        <v>34</v>
      </c>
      <c r="I68" t="s">
        <v>34</v>
      </c>
      <c r="J68" t="s">
        <v>132</v>
      </c>
      <c r="K68" s="4">
        <v>45110</v>
      </c>
      <c r="L68" s="4">
        <v>45112</v>
      </c>
      <c r="M68" s="15">
        <v>0.56944444444444442</v>
      </c>
      <c r="N68" s="18" t="s">
        <v>130</v>
      </c>
    </row>
    <row r="69" spans="1:15" x14ac:dyDescent="0.25">
      <c r="A69" s="8">
        <v>233664</v>
      </c>
      <c r="C69">
        <v>39800</v>
      </c>
      <c r="D69" t="s">
        <v>33</v>
      </c>
      <c r="E69" s="16" t="s">
        <v>100</v>
      </c>
      <c r="F69" s="16"/>
      <c r="G69" s="8">
        <v>5</v>
      </c>
      <c r="H69" t="s">
        <v>34</v>
      </c>
      <c r="I69" t="s">
        <v>34</v>
      </c>
      <c r="J69" t="s">
        <v>132</v>
      </c>
      <c r="K69" s="4">
        <v>45110</v>
      </c>
      <c r="L69" s="4">
        <v>45113</v>
      </c>
      <c r="M69" s="15">
        <v>0.55763888888888891</v>
      </c>
      <c r="N69" s="18">
        <v>3.04</v>
      </c>
      <c r="O69" s="5"/>
    </row>
    <row r="70" spans="1:15" x14ac:dyDescent="0.25">
      <c r="A70" s="8">
        <v>233666</v>
      </c>
      <c r="C70" s="8">
        <v>49828</v>
      </c>
      <c r="D70" t="s">
        <v>38</v>
      </c>
      <c r="E70" s="16" t="s">
        <v>103</v>
      </c>
      <c r="F70" s="16"/>
      <c r="G70" s="8">
        <v>6</v>
      </c>
      <c r="H70" t="s">
        <v>28</v>
      </c>
      <c r="I70" t="s">
        <v>28</v>
      </c>
      <c r="J70" t="s">
        <v>132</v>
      </c>
      <c r="K70" s="4">
        <v>45111</v>
      </c>
      <c r="L70" s="4">
        <v>45113</v>
      </c>
      <c r="M70" s="15">
        <v>0.29583333333333334</v>
      </c>
      <c r="N70" s="18">
        <v>1.38</v>
      </c>
      <c r="O70" s="5"/>
    </row>
    <row r="71" spans="1:15" x14ac:dyDescent="0.25">
      <c r="A71" s="8">
        <v>233666</v>
      </c>
      <c r="C71" s="8">
        <v>49828</v>
      </c>
      <c r="D71" t="s">
        <v>38</v>
      </c>
      <c r="E71" s="16" t="s">
        <v>103</v>
      </c>
      <c r="F71" s="16"/>
      <c r="G71" s="8">
        <v>6</v>
      </c>
      <c r="H71" t="s">
        <v>28</v>
      </c>
      <c r="I71" t="s">
        <v>28</v>
      </c>
      <c r="J71" t="s">
        <v>132</v>
      </c>
      <c r="K71" s="4">
        <v>45111</v>
      </c>
      <c r="L71" s="4">
        <v>45113</v>
      </c>
      <c r="M71" s="15">
        <v>0.69097222222222221</v>
      </c>
      <c r="N71" s="18">
        <v>28</v>
      </c>
      <c r="O71" s="17"/>
    </row>
    <row r="72" spans="1:15" x14ac:dyDescent="0.25">
      <c r="A72" s="8">
        <v>233666</v>
      </c>
      <c r="C72" s="8">
        <v>49828</v>
      </c>
      <c r="D72" t="s">
        <v>38</v>
      </c>
      <c r="E72" s="16" t="s">
        <v>103</v>
      </c>
      <c r="F72" s="16"/>
      <c r="G72" s="8">
        <v>6</v>
      </c>
      <c r="H72" t="s">
        <v>28</v>
      </c>
      <c r="I72" t="s">
        <v>28</v>
      </c>
      <c r="J72" t="s">
        <v>132</v>
      </c>
      <c r="K72" s="4">
        <v>45111</v>
      </c>
      <c r="L72" s="4">
        <v>45113</v>
      </c>
      <c r="M72" s="15">
        <v>0.85416666666666663</v>
      </c>
      <c r="N72" s="18">
        <v>15.16</v>
      </c>
      <c r="O72" s="17"/>
    </row>
    <row r="73" spans="1:15" x14ac:dyDescent="0.25">
      <c r="A73" s="8">
        <v>233666</v>
      </c>
      <c r="C73" s="8">
        <v>49828</v>
      </c>
      <c r="D73" t="s">
        <v>38</v>
      </c>
      <c r="E73" s="16" t="s">
        <v>103</v>
      </c>
      <c r="F73" s="16"/>
      <c r="G73" s="8">
        <v>6</v>
      </c>
      <c r="H73" t="s">
        <v>28</v>
      </c>
      <c r="I73" t="s">
        <v>28</v>
      </c>
      <c r="J73" t="s">
        <v>132</v>
      </c>
      <c r="K73" s="4">
        <v>45111</v>
      </c>
      <c r="L73" s="4">
        <v>45115</v>
      </c>
      <c r="M73" s="15">
        <v>0.76458333333333339</v>
      </c>
      <c r="N73" s="18">
        <v>11.14</v>
      </c>
      <c r="O73" s="17"/>
    </row>
    <row r="74" spans="1:15" x14ac:dyDescent="0.25">
      <c r="A74" s="8">
        <v>233661</v>
      </c>
      <c r="C74" s="8">
        <v>51709</v>
      </c>
      <c r="D74" t="s">
        <v>59</v>
      </c>
      <c r="E74" s="16" t="s">
        <v>122</v>
      </c>
      <c r="F74" s="16"/>
      <c r="G74" s="9" t="s">
        <v>31</v>
      </c>
      <c r="H74" t="s">
        <v>34</v>
      </c>
      <c r="I74" t="s">
        <v>34</v>
      </c>
      <c r="J74" t="s">
        <v>132</v>
      </c>
      <c r="K74" s="4">
        <v>45116</v>
      </c>
      <c r="L74" s="4">
        <v>45116</v>
      </c>
      <c r="M74" s="15">
        <v>0.64097222222222217</v>
      </c>
      <c r="N74" s="18">
        <v>5.47</v>
      </c>
      <c r="O74" t="s">
        <v>134</v>
      </c>
    </row>
    <row r="75" spans="1:15" x14ac:dyDescent="0.25">
      <c r="B75" s="8">
        <v>60624</v>
      </c>
      <c r="C75" s="8">
        <v>51700</v>
      </c>
      <c r="E75" s="16" t="s">
        <v>113</v>
      </c>
      <c r="F75" s="16"/>
      <c r="G75" s="9" t="s">
        <v>31</v>
      </c>
      <c r="H75" t="s">
        <v>27</v>
      </c>
      <c r="I75" t="s">
        <v>27</v>
      </c>
      <c r="J75" t="s">
        <v>136</v>
      </c>
      <c r="K75" s="4">
        <v>45112</v>
      </c>
      <c r="L75" s="4">
        <v>45115</v>
      </c>
      <c r="M75" s="15">
        <v>0.44305555555555554</v>
      </c>
      <c r="N75" s="18">
        <v>3.11</v>
      </c>
      <c r="O75" t="s">
        <v>133</v>
      </c>
    </row>
    <row r="76" spans="1:15" x14ac:dyDescent="0.25">
      <c r="B76" s="8">
        <v>60624</v>
      </c>
      <c r="C76" s="8">
        <v>51700</v>
      </c>
      <c r="E76" s="16" t="s">
        <v>113</v>
      </c>
      <c r="F76" s="16"/>
      <c r="G76" s="9" t="s">
        <v>31</v>
      </c>
      <c r="H76" t="s">
        <v>27</v>
      </c>
      <c r="I76" t="s">
        <v>27</v>
      </c>
      <c r="J76" t="s">
        <v>136</v>
      </c>
      <c r="K76" s="4">
        <v>45112</v>
      </c>
      <c r="L76" s="4">
        <v>45116</v>
      </c>
      <c r="M76" s="15">
        <v>0.38750000000000001</v>
      </c>
      <c r="N76" s="18">
        <v>5.26</v>
      </c>
      <c r="O76" t="s">
        <v>134</v>
      </c>
    </row>
    <row r="77" spans="1:15" x14ac:dyDescent="0.25">
      <c r="B77" s="8">
        <v>60624</v>
      </c>
      <c r="C77" s="16">
        <v>51700</v>
      </c>
      <c r="E77" s="16" t="s">
        <v>113</v>
      </c>
      <c r="F77" s="16"/>
      <c r="G77" s="9" t="s">
        <v>31</v>
      </c>
      <c r="H77" t="s">
        <v>27</v>
      </c>
      <c r="I77" t="s">
        <v>27</v>
      </c>
      <c r="J77" t="s">
        <v>136</v>
      </c>
      <c r="K77" s="4">
        <v>45112</v>
      </c>
      <c r="L77" s="4">
        <v>45116</v>
      </c>
      <c r="M77" s="15">
        <v>0.82986111111111116</v>
      </c>
      <c r="N77" s="18">
        <v>6.37</v>
      </c>
      <c r="O77" t="s">
        <v>134</v>
      </c>
    </row>
    <row r="78" spans="1:15" x14ac:dyDescent="0.25">
      <c r="B78" s="8">
        <v>60625</v>
      </c>
      <c r="C78" s="8">
        <v>51701</v>
      </c>
      <c r="E78" s="16" t="s">
        <v>114</v>
      </c>
      <c r="F78" s="16"/>
      <c r="G78" s="9" t="s">
        <v>54</v>
      </c>
      <c r="H78" t="s">
        <v>27</v>
      </c>
      <c r="I78" t="s">
        <v>27</v>
      </c>
      <c r="J78" t="s">
        <v>136</v>
      </c>
      <c r="K78" s="4">
        <v>45112</v>
      </c>
      <c r="L78" s="4">
        <v>45114</v>
      </c>
      <c r="M78" s="15">
        <v>0.45277777777777778</v>
      </c>
      <c r="N78" s="18">
        <v>2.44</v>
      </c>
      <c r="O78" t="s">
        <v>135</v>
      </c>
    </row>
    <row r="79" spans="1:15" x14ac:dyDescent="0.25">
      <c r="B79" s="8">
        <v>60625</v>
      </c>
      <c r="C79" s="8">
        <v>51701</v>
      </c>
      <c r="E79" s="16" t="s">
        <v>114</v>
      </c>
      <c r="F79" s="16"/>
      <c r="G79" s="9" t="s">
        <v>54</v>
      </c>
      <c r="H79" t="s">
        <v>27</v>
      </c>
      <c r="I79" t="s">
        <v>27</v>
      </c>
      <c r="J79" t="s">
        <v>136</v>
      </c>
      <c r="K79" s="4">
        <v>45112</v>
      </c>
      <c r="L79" s="4">
        <v>45115</v>
      </c>
      <c r="M79" s="15">
        <v>0.76111111111111107</v>
      </c>
      <c r="N79" s="18">
        <v>4.2699999999999996</v>
      </c>
      <c r="O79" t="s">
        <v>135</v>
      </c>
    </row>
    <row r="80" spans="1:15" x14ac:dyDescent="0.25">
      <c r="B80" s="8">
        <v>60625</v>
      </c>
      <c r="C80" s="8">
        <v>51701</v>
      </c>
      <c r="E80" s="16" t="s">
        <v>114</v>
      </c>
      <c r="F80" s="16"/>
      <c r="G80" s="9" t="s">
        <v>54</v>
      </c>
      <c r="H80" t="s">
        <v>27</v>
      </c>
      <c r="I80" t="s">
        <v>27</v>
      </c>
      <c r="J80" t="s">
        <v>136</v>
      </c>
      <c r="K80" s="4">
        <v>45112</v>
      </c>
      <c r="L80" s="4">
        <v>45117</v>
      </c>
      <c r="M80" s="15">
        <v>0.34375</v>
      </c>
      <c r="N80" s="18">
        <v>7.03</v>
      </c>
      <c r="O80" t="s">
        <v>135</v>
      </c>
    </row>
    <row r="81" spans="2:15" x14ac:dyDescent="0.25">
      <c r="B81" s="8">
        <v>60635</v>
      </c>
      <c r="C81" s="8">
        <v>51702</v>
      </c>
      <c r="E81" s="16" t="s">
        <v>115</v>
      </c>
      <c r="F81" s="16"/>
      <c r="G81" s="8">
        <v>4</v>
      </c>
      <c r="H81" t="s">
        <v>27</v>
      </c>
      <c r="I81" t="s">
        <v>27</v>
      </c>
      <c r="J81" t="s">
        <v>136</v>
      </c>
      <c r="K81" s="4">
        <v>45112</v>
      </c>
      <c r="L81" s="4">
        <v>45116</v>
      </c>
      <c r="M81" s="15">
        <v>0.43263888888888885</v>
      </c>
      <c r="N81" s="18">
        <v>2.4700000000000002</v>
      </c>
      <c r="O81" t="s">
        <v>135</v>
      </c>
    </row>
    <row r="82" spans="2:15" x14ac:dyDescent="0.25">
      <c r="B82" s="8">
        <v>60631</v>
      </c>
      <c r="C82" s="8">
        <v>51703</v>
      </c>
      <c r="E82" s="16" t="s">
        <v>116</v>
      </c>
      <c r="F82" s="16"/>
      <c r="G82" s="8">
        <v>4</v>
      </c>
      <c r="H82" t="s">
        <v>27</v>
      </c>
      <c r="I82" t="s">
        <v>27</v>
      </c>
      <c r="J82" t="s">
        <v>136</v>
      </c>
      <c r="K82" s="4">
        <v>45113</v>
      </c>
      <c r="L82" s="4">
        <v>45113</v>
      </c>
      <c r="M82" s="15">
        <v>0.54791666666666672</v>
      </c>
      <c r="N82" s="18">
        <v>3.04</v>
      </c>
    </row>
    <row r="83" spans="2:15" x14ac:dyDescent="0.25">
      <c r="B83" s="8">
        <v>60631</v>
      </c>
      <c r="C83" s="8">
        <v>51703</v>
      </c>
      <c r="E83" s="16" t="s">
        <v>116</v>
      </c>
      <c r="F83" s="16"/>
      <c r="G83" s="8">
        <v>4</v>
      </c>
      <c r="H83" t="s">
        <v>27</v>
      </c>
      <c r="I83" t="s">
        <v>27</v>
      </c>
      <c r="J83" t="s">
        <v>136</v>
      </c>
      <c r="K83" s="4">
        <v>45113</v>
      </c>
      <c r="L83" s="4">
        <v>45114</v>
      </c>
      <c r="M83" s="15">
        <v>0.38194444444444442</v>
      </c>
      <c r="N83" s="18">
        <v>3.04</v>
      </c>
      <c r="O83" t="s">
        <v>133</v>
      </c>
    </row>
    <row r="84" spans="2:15" x14ac:dyDescent="0.25">
      <c r="B84" s="8">
        <v>60631</v>
      </c>
      <c r="C84" s="8">
        <v>51703</v>
      </c>
      <c r="E84" s="16" t="s">
        <v>116</v>
      </c>
      <c r="F84" s="16"/>
      <c r="G84" s="8">
        <v>4</v>
      </c>
      <c r="H84" t="s">
        <v>27</v>
      </c>
      <c r="I84" t="s">
        <v>27</v>
      </c>
      <c r="J84" t="s">
        <v>136</v>
      </c>
      <c r="K84" s="4">
        <v>45113</v>
      </c>
      <c r="L84" s="4">
        <v>45115</v>
      </c>
      <c r="M84" s="15">
        <v>0.5625</v>
      </c>
      <c r="N84" s="18">
        <v>2.41</v>
      </c>
      <c r="O84" t="s">
        <v>133</v>
      </c>
    </row>
    <row r="85" spans="2:15" x14ac:dyDescent="0.25">
      <c r="B85" s="8">
        <v>60638</v>
      </c>
      <c r="C85" s="8">
        <v>51705</v>
      </c>
      <c r="E85" s="16" t="s">
        <v>118</v>
      </c>
      <c r="F85" t="s">
        <v>44</v>
      </c>
      <c r="G85" s="9" t="s">
        <v>31</v>
      </c>
      <c r="H85" t="s">
        <v>34</v>
      </c>
      <c r="I85" t="s">
        <v>27</v>
      </c>
      <c r="J85" t="s">
        <v>136</v>
      </c>
      <c r="K85" s="4">
        <v>45114</v>
      </c>
      <c r="L85" s="4">
        <v>45115</v>
      </c>
      <c r="M85" s="15">
        <v>0.4291666666666667</v>
      </c>
      <c r="N85" s="18" t="s">
        <v>130</v>
      </c>
      <c r="O85" t="s">
        <v>133</v>
      </c>
    </row>
    <row r="86" spans="2:15" x14ac:dyDescent="0.25">
      <c r="B86" s="8">
        <v>60643</v>
      </c>
      <c r="C86" s="8">
        <v>51706</v>
      </c>
      <c r="E86" s="16" t="s">
        <v>119</v>
      </c>
      <c r="F86" t="s">
        <v>23</v>
      </c>
      <c r="G86" s="9" t="s">
        <v>57</v>
      </c>
      <c r="H86" t="s">
        <v>27</v>
      </c>
      <c r="I86" t="s">
        <v>27</v>
      </c>
      <c r="J86" t="s">
        <v>136</v>
      </c>
      <c r="K86" s="4">
        <v>45114</v>
      </c>
      <c r="L86" s="4">
        <v>45114</v>
      </c>
      <c r="M86" s="15">
        <v>0.4993055555555555</v>
      </c>
      <c r="N86" s="18">
        <v>1.4</v>
      </c>
    </row>
    <row r="87" spans="2:15" x14ac:dyDescent="0.25">
      <c r="B87" s="8">
        <v>60643</v>
      </c>
      <c r="C87" s="8">
        <v>51706</v>
      </c>
      <c r="E87" s="16" t="s">
        <v>119</v>
      </c>
      <c r="F87" t="s">
        <v>23</v>
      </c>
      <c r="G87" s="9" t="s">
        <v>57</v>
      </c>
      <c r="H87" t="s">
        <v>27</v>
      </c>
      <c r="I87" t="s">
        <v>27</v>
      </c>
      <c r="J87" t="s">
        <v>136</v>
      </c>
      <c r="K87" s="4">
        <v>45114</v>
      </c>
      <c r="L87" s="4">
        <v>45115</v>
      </c>
      <c r="M87" s="15">
        <v>0.34722222222222227</v>
      </c>
      <c r="N87" s="18">
        <v>4.17</v>
      </c>
    </row>
    <row r="88" spans="2:15" x14ac:dyDescent="0.25">
      <c r="C88">
        <v>29883</v>
      </c>
      <c r="G88">
        <v>5</v>
      </c>
      <c r="H88" t="s">
        <v>27</v>
      </c>
      <c r="I88" t="s">
        <v>27</v>
      </c>
      <c r="J88" t="s">
        <v>139</v>
      </c>
      <c r="L88" s="4">
        <v>45112</v>
      </c>
      <c r="M88" s="15">
        <v>0.875</v>
      </c>
      <c r="N88" s="18">
        <v>8.56</v>
      </c>
      <c r="O88" t="s">
        <v>134</v>
      </c>
    </row>
    <row r="89" spans="2:15" x14ac:dyDescent="0.25">
      <c r="C89">
        <v>29883</v>
      </c>
      <c r="G89">
        <v>5</v>
      </c>
      <c r="H89" t="s">
        <v>27</v>
      </c>
      <c r="I89" t="s">
        <v>27</v>
      </c>
      <c r="J89" t="s">
        <v>139</v>
      </c>
      <c r="L89" s="4">
        <v>45113</v>
      </c>
      <c r="M89" s="15">
        <v>0.46875</v>
      </c>
      <c r="N89" s="18">
        <v>3.18</v>
      </c>
      <c r="O89" t="s">
        <v>133</v>
      </c>
    </row>
  </sheetData>
  <sortState xmlns:xlrd2="http://schemas.microsoft.com/office/spreadsheetml/2017/richdata2" ref="A2:O89">
    <sortCondition ref="D2:D8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workbookViewId="0">
      <pane ySplit="1" topLeftCell="A53" activePane="bottomLeft" state="frozen"/>
      <selection pane="bottomLeft" activeCell="F68" sqref="F68"/>
    </sheetView>
  </sheetViews>
  <sheetFormatPr baseColWidth="10" defaultRowHeight="15.75" x14ac:dyDescent="0.25"/>
  <cols>
    <col min="1" max="1" width="15.875" customWidth="1"/>
    <col min="2" max="2" width="20.625" style="28" customWidth="1"/>
    <col min="5" max="5" width="15" customWidth="1"/>
    <col min="6" max="6" width="30" style="28" customWidth="1"/>
  </cols>
  <sheetData>
    <row r="1" spans="1:6" x14ac:dyDescent="0.25">
      <c r="A1" t="s">
        <v>128</v>
      </c>
      <c r="B1" s="28" t="s">
        <v>125</v>
      </c>
      <c r="C1" t="s">
        <v>236</v>
      </c>
      <c r="D1" t="s">
        <v>237</v>
      </c>
      <c r="E1" t="s">
        <v>250</v>
      </c>
      <c r="F1" s="28" t="s">
        <v>251</v>
      </c>
    </row>
    <row r="2" spans="1:6" x14ac:dyDescent="0.25">
      <c r="A2" s="4">
        <v>45110</v>
      </c>
      <c r="C2" t="s">
        <v>142</v>
      </c>
      <c r="D2" t="s">
        <v>240</v>
      </c>
    </row>
    <row r="3" spans="1:6" x14ac:dyDescent="0.25">
      <c r="A3" s="4">
        <v>45110</v>
      </c>
      <c r="C3" t="s">
        <v>140</v>
      </c>
      <c r="D3" t="s">
        <v>240</v>
      </c>
    </row>
    <row r="4" spans="1:6" x14ac:dyDescent="0.25">
      <c r="A4" s="4">
        <v>45110</v>
      </c>
      <c r="C4" t="s">
        <v>143</v>
      </c>
      <c r="D4" t="s">
        <v>240</v>
      </c>
    </row>
    <row r="5" spans="1:6" x14ac:dyDescent="0.25">
      <c r="A5" s="4">
        <v>45110</v>
      </c>
      <c r="C5" t="s">
        <v>238</v>
      </c>
      <c r="D5" t="s">
        <v>241</v>
      </c>
    </row>
    <row r="6" spans="1:6" x14ac:dyDescent="0.25">
      <c r="A6" s="4">
        <v>45110</v>
      </c>
      <c r="C6" t="s">
        <v>239</v>
      </c>
      <c r="D6" t="s">
        <v>241</v>
      </c>
    </row>
    <row r="7" spans="1:6" x14ac:dyDescent="0.25">
      <c r="A7" s="4">
        <v>45110</v>
      </c>
      <c r="B7" s="28" t="s">
        <v>261</v>
      </c>
      <c r="D7" t="s">
        <v>240</v>
      </c>
      <c r="F7" s="28" t="s">
        <v>212</v>
      </c>
    </row>
    <row r="8" spans="1:6" x14ac:dyDescent="0.25">
      <c r="A8" s="4">
        <v>45111</v>
      </c>
      <c r="C8" t="s">
        <v>242</v>
      </c>
      <c r="D8" t="s">
        <v>241</v>
      </c>
    </row>
    <row r="9" spans="1:6" x14ac:dyDescent="0.25">
      <c r="A9" s="4">
        <v>45111</v>
      </c>
      <c r="C9" t="s">
        <v>146</v>
      </c>
      <c r="D9" t="s">
        <v>240</v>
      </c>
    </row>
    <row r="10" spans="1:6" x14ac:dyDescent="0.25">
      <c r="A10" s="4">
        <v>45111</v>
      </c>
      <c r="C10" t="s">
        <v>145</v>
      </c>
      <c r="D10" t="s">
        <v>240</v>
      </c>
    </row>
    <row r="11" spans="1:6" x14ac:dyDescent="0.25">
      <c r="A11" s="4">
        <v>45111</v>
      </c>
      <c r="C11" t="s">
        <v>243</v>
      </c>
      <c r="D11" t="s">
        <v>241</v>
      </c>
    </row>
    <row r="12" spans="1:6" x14ac:dyDescent="0.25">
      <c r="A12" s="4">
        <v>45111</v>
      </c>
      <c r="C12" t="s">
        <v>148</v>
      </c>
      <c r="D12" t="s">
        <v>240</v>
      </c>
    </row>
    <row r="13" spans="1:6" x14ac:dyDescent="0.25">
      <c r="A13" s="4">
        <v>45111</v>
      </c>
      <c r="C13" t="s">
        <v>138</v>
      </c>
      <c r="D13" t="s">
        <v>240</v>
      </c>
    </row>
    <row r="14" spans="1:6" x14ac:dyDescent="0.25">
      <c r="A14" s="4">
        <v>45111</v>
      </c>
      <c r="C14" t="s">
        <v>141</v>
      </c>
      <c r="D14" t="s">
        <v>240</v>
      </c>
      <c r="F14" s="28" t="s">
        <v>267</v>
      </c>
    </row>
    <row r="15" spans="1:6" x14ac:dyDescent="0.25">
      <c r="A15" s="4">
        <v>45111</v>
      </c>
      <c r="B15" s="28" t="s">
        <v>262</v>
      </c>
      <c r="D15" t="s">
        <v>241</v>
      </c>
      <c r="E15" t="s">
        <v>244</v>
      </c>
    </row>
    <row r="16" spans="1:6" x14ac:dyDescent="0.25">
      <c r="A16" s="4">
        <v>45112</v>
      </c>
      <c r="C16" t="s">
        <v>245</v>
      </c>
      <c r="D16" t="s">
        <v>241</v>
      </c>
    </row>
    <row r="17" spans="1:6" x14ac:dyDescent="0.25">
      <c r="A17" s="4">
        <v>45112</v>
      </c>
      <c r="C17" t="s">
        <v>246</v>
      </c>
      <c r="D17" t="s">
        <v>240</v>
      </c>
      <c r="E17" t="s">
        <v>247</v>
      </c>
    </row>
    <row r="18" spans="1:6" x14ac:dyDescent="0.25">
      <c r="A18" s="4">
        <v>45112</v>
      </c>
      <c r="C18" t="s">
        <v>147</v>
      </c>
      <c r="D18" t="s">
        <v>240</v>
      </c>
    </row>
    <row r="19" spans="1:6" x14ac:dyDescent="0.25">
      <c r="A19" s="4">
        <v>45112</v>
      </c>
      <c r="C19" t="s">
        <v>149</v>
      </c>
      <c r="D19" t="s">
        <v>240</v>
      </c>
    </row>
    <row r="20" spans="1:6" x14ac:dyDescent="0.25">
      <c r="A20" s="4">
        <v>45113</v>
      </c>
      <c r="C20" t="s">
        <v>144</v>
      </c>
      <c r="D20" t="s">
        <v>240</v>
      </c>
      <c r="E20" t="s">
        <v>247</v>
      </c>
    </row>
    <row r="21" spans="1:6" x14ac:dyDescent="0.25">
      <c r="A21" s="4">
        <v>45113</v>
      </c>
      <c r="C21" t="s">
        <v>248</v>
      </c>
      <c r="D21" t="s">
        <v>241</v>
      </c>
    </row>
    <row r="22" spans="1:6" x14ac:dyDescent="0.25">
      <c r="A22" s="4">
        <v>45113</v>
      </c>
      <c r="C22" t="s">
        <v>249</v>
      </c>
      <c r="D22" t="s">
        <v>241</v>
      </c>
    </row>
    <row r="23" spans="1:6" x14ac:dyDescent="0.25">
      <c r="A23" s="4">
        <v>45113</v>
      </c>
      <c r="B23" s="28" t="s">
        <v>263</v>
      </c>
      <c r="D23" t="s">
        <v>240</v>
      </c>
    </row>
    <row r="24" spans="1:6" x14ac:dyDescent="0.25">
      <c r="A24" s="4">
        <v>45114</v>
      </c>
      <c r="C24" t="s">
        <v>252</v>
      </c>
      <c r="D24" t="s">
        <v>241</v>
      </c>
    </row>
    <row r="25" spans="1:6" x14ac:dyDescent="0.25">
      <c r="A25" s="4">
        <v>45114</v>
      </c>
      <c r="C25" t="s">
        <v>253</v>
      </c>
      <c r="D25" t="s">
        <v>240</v>
      </c>
      <c r="E25" t="s">
        <v>257</v>
      </c>
    </row>
    <row r="26" spans="1:6" x14ac:dyDescent="0.25">
      <c r="A26" s="4">
        <v>45114</v>
      </c>
      <c r="C26" t="s">
        <v>254</v>
      </c>
      <c r="D26" t="s">
        <v>241</v>
      </c>
    </row>
    <row r="27" spans="1:6" x14ac:dyDescent="0.25">
      <c r="A27" s="4">
        <v>45114</v>
      </c>
      <c r="C27" t="s">
        <v>255</v>
      </c>
      <c r="D27" t="s">
        <v>256</v>
      </c>
    </row>
    <row r="28" spans="1:6" x14ac:dyDescent="0.25">
      <c r="A28" s="4">
        <v>45114</v>
      </c>
      <c r="B28" s="28" t="s">
        <v>264</v>
      </c>
      <c r="D28" t="s">
        <v>240</v>
      </c>
      <c r="F28" s="28" t="s">
        <v>258</v>
      </c>
    </row>
    <row r="29" spans="1:6" x14ac:dyDescent="0.25">
      <c r="A29" s="4">
        <v>45115</v>
      </c>
      <c r="B29" s="28" t="s">
        <v>265</v>
      </c>
      <c r="D29" t="s">
        <v>241</v>
      </c>
    </row>
    <row r="30" spans="1:6" x14ac:dyDescent="0.25">
      <c r="A30" s="4">
        <v>45115</v>
      </c>
      <c r="C30" t="s">
        <v>259</v>
      </c>
      <c r="D30" t="s">
        <v>241</v>
      </c>
    </row>
    <row r="31" spans="1:6" x14ac:dyDescent="0.25">
      <c r="A31" s="4">
        <v>45115</v>
      </c>
      <c r="C31" t="s">
        <v>260</v>
      </c>
      <c r="D31" t="s">
        <v>240</v>
      </c>
    </row>
    <row r="32" spans="1:6" x14ac:dyDescent="0.25">
      <c r="A32" s="4">
        <v>45115</v>
      </c>
      <c r="B32" s="28" t="s">
        <v>266</v>
      </c>
      <c r="D32" t="s">
        <v>240</v>
      </c>
    </row>
    <row r="33" spans="1:6" x14ac:dyDescent="0.25">
      <c r="A33" s="4">
        <v>45115</v>
      </c>
      <c r="B33" s="28" t="s">
        <v>267</v>
      </c>
      <c r="D33" t="s">
        <v>240</v>
      </c>
      <c r="F33" s="28" t="s">
        <v>141</v>
      </c>
    </row>
    <row r="34" spans="1:6" x14ac:dyDescent="0.25">
      <c r="A34" s="4">
        <v>45115</v>
      </c>
      <c r="B34" s="28" t="s">
        <v>268</v>
      </c>
      <c r="D34" t="s">
        <v>241</v>
      </c>
    </row>
    <row r="35" spans="1:6" x14ac:dyDescent="0.25">
      <c r="A35" s="4">
        <v>45116</v>
      </c>
      <c r="B35" s="28" t="s">
        <v>269</v>
      </c>
      <c r="D35" t="s">
        <v>241</v>
      </c>
      <c r="E35" t="s">
        <v>247</v>
      </c>
    </row>
    <row r="36" spans="1:6" x14ac:dyDescent="0.25">
      <c r="A36" s="4">
        <v>45116</v>
      </c>
      <c r="B36" s="28" t="s">
        <v>271</v>
      </c>
      <c r="D36" t="s">
        <v>240</v>
      </c>
      <c r="F36" s="28" t="s">
        <v>32</v>
      </c>
    </row>
    <row r="37" spans="1:6" x14ac:dyDescent="0.25">
      <c r="A37" s="4">
        <v>45116</v>
      </c>
      <c r="B37" s="28" t="s">
        <v>272</v>
      </c>
      <c r="D37" t="s">
        <v>41</v>
      </c>
    </row>
    <row r="38" spans="1:6" x14ac:dyDescent="0.25">
      <c r="A38" s="4">
        <v>45116</v>
      </c>
      <c r="B38" s="28" t="s">
        <v>273</v>
      </c>
      <c r="D38" t="s">
        <v>41</v>
      </c>
    </row>
    <row r="39" spans="1:6" x14ac:dyDescent="0.25">
      <c r="A39" s="4">
        <v>45160</v>
      </c>
      <c r="C39" t="s">
        <v>253</v>
      </c>
      <c r="D39" t="s">
        <v>240</v>
      </c>
    </row>
    <row r="40" spans="1:6" x14ac:dyDescent="0.25">
      <c r="A40" s="4">
        <v>45160</v>
      </c>
      <c r="C40" t="s">
        <v>274</v>
      </c>
      <c r="D40" t="s">
        <v>241</v>
      </c>
      <c r="E40" t="s">
        <v>244</v>
      </c>
    </row>
    <row r="41" spans="1:6" x14ac:dyDescent="0.25">
      <c r="A41" s="4">
        <v>45160</v>
      </c>
      <c r="C41" t="s">
        <v>46</v>
      </c>
      <c r="D41" t="s">
        <v>240</v>
      </c>
    </row>
    <row r="42" spans="1:6" x14ac:dyDescent="0.25">
      <c r="A42" s="4">
        <v>45160</v>
      </c>
      <c r="C42" t="s">
        <v>48</v>
      </c>
      <c r="D42" t="s">
        <v>240</v>
      </c>
    </row>
    <row r="43" spans="1:6" x14ac:dyDescent="0.25">
      <c r="A43" s="4">
        <v>45160</v>
      </c>
      <c r="C43" t="s">
        <v>32</v>
      </c>
      <c r="D43" t="s">
        <v>240</v>
      </c>
    </row>
    <row r="44" spans="1:6" x14ac:dyDescent="0.25">
      <c r="A44" s="4">
        <v>45160</v>
      </c>
      <c r="C44" t="s">
        <v>30</v>
      </c>
      <c r="D44" t="s">
        <v>240</v>
      </c>
    </row>
    <row r="45" spans="1:6" x14ac:dyDescent="0.25">
      <c r="A45" s="4">
        <v>45160</v>
      </c>
      <c r="C45" t="s">
        <v>59</v>
      </c>
      <c r="D45" t="s">
        <v>240</v>
      </c>
    </row>
    <row r="46" spans="1:6" x14ac:dyDescent="0.25">
      <c r="A46" s="4">
        <v>45160</v>
      </c>
      <c r="C46" t="s">
        <v>141</v>
      </c>
      <c r="D46" t="s">
        <v>240</v>
      </c>
    </row>
    <row r="47" spans="1:6" x14ac:dyDescent="0.25">
      <c r="A47" s="4">
        <v>45160</v>
      </c>
      <c r="C47" t="s">
        <v>146</v>
      </c>
      <c r="D47" t="s">
        <v>240</v>
      </c>
    </row>
    <row r="48" spans="1:6" x14ac:dyDescent="0.25">
      <c r="A48" s="4">
        <v>45160</v>
      </c>
      <c r="C48" t="s">
        <v>60</v>
      </c>
      <c r="D48" t="s">
        <v>240</v>
      </c>
    </row>
    <row r="49" spans="1:6" x14ac:dyDescent="0.25">
      <c r="A49" s="4">
        <v>45160</v>
      </c>
      <c r="C49" t="s">
        <v>142</v>
      </c>
      <c r="D49" t="s">
        <v>240</v>
      </c>
    </row>
    <row r="50" spans="1:6" x14ac:dyDescent="0.25">
      <c r="A50" s="4">
        <v>45160</v>
      </c>
      <c r="B50" s="28" t="s">
        <v>275</v>
      </c>
      <c r="D50" t="s">
        <v>240</v>
      </c>
      <c r="F50" s="28" t="s">
        <v>286</v>
      </c>
    </row>
    <row r="51" spans="1:6" x14ac:dyDescent="0.25">
      <c r="A51" s="4">
        <v>45160</v>
      </c>
      <c r="C51" t="s">
        <v>148</v>
      </c>
      <c r="D51" t="s">
        <v>240</v>
      </c>
    </row>
    <row r="52" spans="1:6" x14ac:dyDescent="0.25">
      <c r="A52" s="4">
        <v>45160</v>
      </c>
      <c r="C52" t="s">
        <v>238</v>
      </c>
      <c r="D52" t="s">
        <v>241</v>
      </c>
    </row>
    <row r="53" spans="1:6" x14ac:dyDescent="0.25">
      <c r="A53" s="4">
        <v>45160</v>
      </c>
      <c r="C53" t="s">
        <v>145</v>
      </c>
      <c r="D53" t="s">
        <v>240</v>
      </c>
    </row>
    <row r="54" spans="1:6" x14ac:dyDescent="0.25">
      <c r="A54" s="4">
        <v>45160</v>
      </c>
      <c r="C54" t="s">
        <v>14</v>
      </c>
      <c r="D54" t="s">
        <v>240</v>
      </c>
      <c r="E54" t="s">
        <v>244</v>
      </c>
      <c r="F54" s="28" t="s">
        <v>264</v>
      </c>
    </row>
    <row r="55" spans="1:6" x14ac:dyDescent="0.25">
      <c r="A55" s="4">
        <v>45160</v>
      </c>
      <c r="C55" t="s">
        <v>33</v>
      </c>
      <c r="D55" t="s">
        <v>240</v>
      </c>
    </row>
    <row r="56" spans="1:6" x14ac:dyDescent="0.25">
      <c r="A56" s="4">
        <v>45160</v>
      </c>
      <c r="C56" t="s">
        <v>259</v>
      </c>
      <c r="D56" t="s">
        <v>241</v>
      </c>
    </row>
    <row r="57" spans="1:6" x14ac:dyDescent="0.25">
      <c r="A57" s="4">
        <v>45160</v>
      </c>
      <c r="C57" t="s">
        <v>149</v>
      </c>
      <c r="D57" t="s">
        <v>240</v>
      </c>
    </row>
    <row r="58" spans="1:6" x14ac:dyDescent="0.25">
      <c r="A58" s="4">
        <v>45161</v>
      </c>
      <c r="C58" t="s">
        <v>239</v>
      </c>
      <c r="D58" t="s">
        <v>241</v>
      </c>
    </row>
    <row r="59" spans="1:6" x14ac:dyDescent="0.25">
      <c r="A59" s="4">
        <v>45161</v>
      </c>
      <c r="C59" t="s">
        <v>39</v>
      </c>
      <c r="D59" t="s">
        <v>240</v>
      </c>
    </row>
    <row r="60" spans="1:6" x14ac:dyDescent="0.25">
      <c r="A60" s="4">
        <v>45161</v>
      </c>
      <c r="C60" t="s">
        <v>243</v>
      </c>
      <c r="D60" t="s">
        <v>241</v>
      </c>
    </row>
    <row r="61" spans="1:6" x14ac:dyDescent="0.25">
      <c r="A61" s="4">
        <v>45161</v>
      </c>
      <c r="C61" t="s">
        <v>254</v>
      </c>
      <c r="D61" t="s">
        <v>241</v>
      </c>
    </row>
    <row r="62" spans="1:6" x14ac:dyDescent="0.25">
      <c r="A62" s="4">
        <v>45161</v>
      </c>
      <c r="C62" t="s">
        <v>40</v>
      </c>
      <c r="D62" t="s">
        <v>241</v>
      </c>
    </row>
    <row r="63" spans="1:6" x14ac:dyDescent="0.25">
      <c r="A63" s="4">
        <v>45161</v>
      </c>
      <c r="C63" t="s">
        <v>38</v>
      </c>
      <c r="D63" t="s">
        <v>240</v>
      </c>
    </row>
    <row r="64" spans="1:6" x14ac:dyDescent="0.25">
      <c r="A64" s="4">
        <v>45161</v>
      </c>
      <c r="C64" t="s">
        <v>140</v>
      </c>
      <c r="D64" t="s">
        <v>240</v>
      </c>
    </row>
    <row r="65" spans="1:5" x14ac:dyDescent="0.25">
      <c r="A65" s="4">
        <v>45161</v>
      </c>
      <c r="C65" t="s">
        <v>42</v>
      </c>
      <c r="D65" t="s">
        <v>240</v>
      </c>
    </row>
    <row r="66" spans="1:5" x14ac:dyDescent="0.25">
      <c r="A66" s="4">
        <v>45161</v>
      </c>
      <c r="C66" t="s">
        <v>45</v>
      </c>
      <c r="D66" t="s">
        <v>240</v>
      </c>
    </row>
    <row r="67" spans="1:5" x14ac:dyDescent="0.25">
      <c r="A67" s="4">
        <v>45161</v>
      </c>
      <c r="C67" t="s">
        <v>36</v>
      </c>
      <c r="D67" t="s">
        <v>240</v>
      </c>
    </row>
    <row r="68" spans="1:5" x14ac:dyDescent="0.25">
      <c r="A68" s="4">
        <v>45161</v>
      </c>
      <c r="C68" t="s">
        <v>138</v>
      </c>
      <c r="D68" t="s">
        <v>240</v>
      </c>
    </row>
    <row r="69" spans="1:5" x14ac:dyDescent="0.25">
      <c r="A69" s="4">
        <v>45161</v>
      </c>
      <c r="C69" t="s">
        <v>144</v>
      </c>
      <c r="D69" t="s">
        <v>240</v>
      </c>
      <c r="E69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>
      <selection activeCell="F6" sqref="F6"/>
    </sheetView>
  </sheetViews>
  <sheetFormatPr baseColWidth="10" defaultRowHeight="15.75" x14ac:dyDescent="0.25"/>
  <cols>
    <col min="9" max="9" width="16.875" customWidth="1"/>
    <col min="10" max="10" width="12.375" customWidth="1"/>
    <col min="11" max="11" width="8.125" customWidth="1"/>
    <col min="13" max="13" width="20.125" customWidth="1"/>
  </cols>
  <sheetData>
    <row r="1" spans="1:14" s="19" customFormat="1" ht="63" x14ac:dyDescent="0.25">
      <c r="A1" s="19" t="s">
        <v>2</v>
      </c>
      <c r="B1" s="19" t="s">
        <v>151</v>
      </c>
      <c r="C1" s="19" t="s">
        <v>171</v>
      </c>
      <c r="D1" s="19" t="s">
        <v>157</v>
      </c>
      <c r="E1" s="19" t="s">
        <v>159</v>
      </c>
      <c r="F1" s="19" t="s">
        <v>166</v>
      </c>
      <c r="G1" s="19" t="s">
        <v>154</v>
      </c>
      <c r="H1" s="19" t="s">
        <v>155</v>
      </c>
      <c r="I1" s="19" t="s">
        <v>156</v>
      </c>
      <c r="J1" s="19" t="s">
        <v>152</v>
      </c>
      <c r="K1" s="19" t="s">
        <v>153</v>
      </c>
      <c r="L1" s="19" t="s">
        <v>168</v>
      </c>
      <c r="M1" s="19" t="s">
        <v>164</v>
      </c>
      <c r="N1" s="19" t="s">
        <v>165</v>
      </c>
    </row>
    <row r="2" spans="1:14" x14ac:dyDescent="0.25">
      <c r="A2" s="4">
        <v>45114</v>
      </c>
      <c r="B2" s="5">
        <v>0.8027777777777777</v>
      </c>
      <c r="C2" t="s">
        <v>72</v>
      </c>
      <c r="D2" t="s">
        <v>158</v>
      </c>
      <c r="E2" t="s">
        <v>160</v>
      </c>
      <c r="G2">
        <v>47</v>
      </c>
      <c r="H2">
        <v>6</v>
      </c>
      <c r="I2">
        <v>11</v>
      </c>
      <c r="J2">
        <v>106</v>
      </c>
      <c r="K2">
        <v>27</v>
      </c>
      <c r="L2">
        <v>2</v>
      </c>
    </row>
    <row r="3" spans="1:14" x14ac:dyDescent="0.25">
      <c r="A3" s="4">
        <v>45114</v>
      </c>
      <c r="B3" s="5">
        <v>0.83333333333333337</v>
      </c>
      <c r="C3" t="s">
        <v>64</v>
      </c>
      <c r="D3" t="s">
        <v>158</v>
      </c>
      <c r="E3" t="s">
        <v>161</v>
      </c>
      <c r="G3">
        <v>45</v>
      </c>
      <c r="H3">
        <v>7</v>
      </c>
      <c r="I3">
        <v>4</v>
      </c>
      <c r="J3">
        <v>99</v>
      </c>
      <c r="K3">
        <v>21</v>
      </c>
    </row>
    <row r="4" spans="1:14" x14ac:dyDescent="0.25">
      <c r="A4" s="4">
        <v>45114</v>
      </c>
      <c r="B4" s="5">
        <v>0.70833333333333337</v>
      </c>
      <c r="C4" t="s">
        <v>72</v>
      </c>
      <c r="D4" t="s">
        <v>162</v>
      </c>
      <c r="E4" t="s">
        <v>163</v>
      </c>
      <c r="G4">
        <v>33</v>
      </c>
      <c r="H4">
        <v>1</v>
      </c>
      <c r="I4">
        <v>2</v>
      </c>
      <c r="J4">
        <v>75</v>
      </c>
      <c r="K4">
        <v>6</v>
      </c>
    </row>
    <row r="5" spans="1:14" x14ac:dyDescent="0.25">
      <c r="A5" s="4">
        <v>45115</v>
      </c>
      <c r="B5" s="5">
        <v>0.86041666666666661</v>
      </c>
      <c r="C5" t="s">
        <v>72</v>
      </c>
      <c r="D5" t="s">
        <v>158</v>
      </c>
      <c r="E5" t="s">
        <v>160</v>
      </c>
      <c r="F5">
        <v>56</v>
      </c>
      <c r="G5">
        <v>24</v>
      </c>
      <c r="H5">
        <v>2</v>
      </c>
      <c r="I5">
        <v>4</v>
      </c>
      <c r="J5">
        <v>72</v>
      </c>
      <c r="K5">
        <v>8</v>
      </c>
      <c r="M5">
        <v>0</v>
      </c>
      <c r="N5">
        <v>22</v>
      </c>
    </row>
    <row r="6" spans="1:14" x14ac:dyDescent="0.25">
      <c r="A6" s="4">
        <v>45115</v>
      </c>
      <c r="B6" s="5">
        <v>0.875</v>
      </c>
      <c r="C6" t="s">
        <v>64</v>
      </c>
      <c r="D6" t="s">
        <v>158</v>
      </c>
      <c r="E6" t="s">
        <v>161</v>
      </c>
      <c r="F6">
        <v>51</v>
      </c>
      <c r="G6">
        <v>16</v>
      </c>
      <c r="H6">
        <v>3</v>
      </c>
      <c r="I6">
        <v>2</v>
      </c>
      <c r="J6">
        <v>52</v>
      </c>
      <c r="K6">
        <v>9</v>
      </c>
      <c r="M6">
        <v>0</v>
      </c>
      <c r="N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general_info</vt:lpstr>
      <vt:lpstr>capture_data</vt:lpstr>
      <vt:lpstr>monitoring</vt:lpstr>
      <vt:lpstr>lecture_bague</vt:lpstr>
      <vt:lpstr>comptage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Lejeune</dc:creator>
  <cp:lastModifiedBy>Aurore Ponchon</cp:lastModifiedBy>
  <dcterms:created xsi:type="dcterms:W3CDTF">2023-07-19T14:44:24Z</dcterms:created>
  <dcterms:modified xsi:type="dcterms:W3CDTF">2025-02-19T17:12:39Z</dcterms:modified>
</cp:coreProperties>
</file>